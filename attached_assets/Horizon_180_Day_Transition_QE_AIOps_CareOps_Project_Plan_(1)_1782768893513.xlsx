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showInkAnnotation="0" autoCompressPictures="0"/>
  <xr:revisionPtr revIDLastSave="7" documentId="11_1656A6D2F687C6F6827C1619D968290F074BEA21" xr6:coauthVersionLast="47" xr6:coauthVersionMax="47" xr10:uidLastSave="{1456ABC7-7B83-40CA-A50C-2E260BE597F8}"/>
  <bookViews>
    <workbookView xWindow="0" yWindow="0" windowWidth="0" windowHeight="0" firstSheet="4" activeTab="1" xr2:uid="{00000000-000D-0000-FFFF-FFFF00000000}"/>
  </bookViews>
  <sheets>
    <sheet name="Dashboard" sheetId="1" r:id="rId1"/>
    <sheet name="180D Master Plan" sheetId="2" r:id="rId2"/>
    <sheet name="Overall Transition" sheetId="3" r:id="rId3"/>
    <sheet name="Quality Engineering" sheetId="4" r:id="rId4"/>
    <sheet name="AIOps Implementation" sheetId="5" r:id="rId5"/>
    <sheet name="CareOps360" sheetId="6" r:id="rId6"/>
    <sheet name="Agile Product Model" sheetId="7" r:id="rId7"/>
    <sheet name="RAID &amp; Dependencies" sheetId="8" r:id="rId8"/>
    <sheet name="RACI &amp; Owners" sheetId="9" r:id="rId9"/>
    <sheet name="Lookups" sheetId="10" r:id="rId10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7" l="1"/>
  <c r="I20" i="7"/>
  <c r="P19" i="7"/>
  <c r="I19" i="7"/>
  <c r="P18" i="7"/>
  <c r="I18" i="7"/>
  <c r="P17" i="7"/>
  <c r="I17" i="7"/>
  <c r="P16" i="7"/>
  <c r="I16" i="7"/>
  <c r="P15" i="7"/>
  <c r="I15" i="7"/>
  <c r="P14" i="7"/>
  <c r="I14" i="7"/>
  <c r="P13" i="7"/>
  <c r="I13" i="7"/>
  <c r="P12" i="7"/>
  <c r="I12" i="7"/>
  <c r="P11" i="7"/>
  <c r="I11" i="7"/>
  <c r="P10" i="7"/>
  <c r="I10" i="7"/>
  <c r="P9" i="7"/>
  <c r="I9" i="7"/>
  <c r="P8" i="7"/>
  <c r="I8" i="7"/>
  <c r="P7" i="7"/>
  <c r="I7" i="7"/>
  <c r="P6" i="7"/>
  <c r="I6" i="7"/>
  <c r="P5" i="7"/>
  <c r="I5" i="7"/>
  <c r="P4" i="7"/>
  <c r="I4" i="7"/>
  <c r="P3" i="7"/>
  <c r="I3" i="7"/>
  <c r="P2" i="7"/>
  <c r="I2" i="7"/>
  <c r="P21" i="6"/>
  <c r="I21" i="6"/>
  <c r="P20" i="6"/>
  <c r="I20" i="6"/>
  <c r="P19" i="6"/>
  <c r="I19" i="6"/>
  <c r="P18" i="6"/>
  <c r="I18" i="6"/>
  <c r="P17" i="6"/>
  <c r="I17" i="6"/>
  <c r="P16" i="6"/>
  <c r="I16" i="6"/>
  <c r="P15" i="6"/>
  <c r="I15" i="6"/>
  <c r="P14" i="6"/>
  <c r="I14" i="6"/>
  <c r="P13" i="6"/>
  <c r="I13" i="6"/>
  <c r="P12" i="6"/>
  <c r="I12" i="6"/>
  <c r="P11" i="6"/>
  <c r="I11" i="6"/>
  <c r="P10" i="6"/>
  <c r="I10" i="6"/>
  <c r="P9" i="6"/>
  <c r="I9" i="6"/>
  <c r="P8" i="6"/>
  <c r="I8" i="6"/>
  <c r="P7" i="6"/>
  <c r="I7" i="6"/>
  <c r="P6" i="6"/>
  <c r="I6" i="6"/>
  <c r="P5" i="6"/>
  <c r="I5" i="6"/>
  <c r="P4" i="6"/>
  <c r="I4" i="6"/>
  <c r="P3" i="6"/>
  <c r="I3" i="6"/>
  <c r="P2" i="6"/>
  <c r="I2" i="6"/>
  <c r="P21" i="5"/>
  <c r="I21" i="5"/>
  <c r="P20" i="5"/>
  <c r="I20" i="5"/>
  <c r="P19" i="5"/>
  <c r="I19" i="5"/>
  <c r="P18" i="5"/>
  <c r="I18" i="5"/>
  <c r="P17" i="5"/>
  <c r="I17" i="5"/>
  <c r="P16" i="5"/>
  <c r="I16" i="5"/>
  <c r="P15" i="5"/>
  <c r="I15" i="5"/>
  <c r="P14" i="5"/>
  <c r="I14" i="5"/>
  <c r="P13" i="5"/>
  <c r="I13" i="5"/>
  <c r="P12" i="5"/>
  <c r="I12" i="5"/>
  <c r="P11" i="5"/>
  <c r="I11" i="5"/>
  <c r="P10" i="5"/>
  <c r="I10" i="5"/>
  <c r="P9" i="5"/>
  <c r="I9" i="5"/>
  <c r="P8" i="5"/>
  <c r="I8" i="5"/>
  <c r="P7" i="5"/>
  <c r="I7" i="5"/>
  <c r="P6" i="5"/>
  <c r="I6" i="5"/>
  <c r="P5" i="5"/>
  <c r="I5" i="5"/>
  <c r="P4" i="5"/>
  <c r="I4" i="5"/>
  <c r="P3" i="5"/>
  <c r="I3" i="5"/>
  <c r="P2" i="5"/>
  <c r="I2" i="5"/>
  <c r="P22" i="4"/>
  <c r="I22" i="4"/>
  <c r="P21" i="4"/>
  <c r="I21" i="4"/>
  <c r="P20" i="4"/>
  <c r="I20" i="4"/>
  <c r="P19" i="4"/>
  <c r="I19" i="4"/>
  <c r="P18" i="4"/>
  <c r="I18" i="4"/>
  <c r="P17" i="4"/>
  <c r="I17" i="4"/>
  <c r="P16" i="4"/>
  <c r="I16" i="4"/>
  <c r="P15" i="4"/>
  <c r="I15" i="4"/>
  <c r="P14" i="4"/>
  <c r="I14" i="4"/>
  <c r="P13" i="4"/>
  <c r="I13" i="4"/>
  <c r="P12" i="4"/>
  <c r="I12" i="4"/>
  <c r="P11" i="4"/>
  <c r="I11" i="4"/>
  <c r="P10" i="4"/>
  <c r="I10" i="4"/>
  <c r="P9" i="4"/>
  <c r="I9" i="4"/>
  <c r="P8" i="4"/>
  <c r="I8" i="4"/>
  <c r="P7" i="4"/>
  <c r="I7" i="4"/>
  <c r="P6" i="4"/>
  <c r="I6" i="4"/>
  <c r="P5" i="4"/>
  <c r="I5" i="4"/>
  <c r="P4" i="4"/>
  <c r="I4" i="4"/>
  <c r="P3" i="4"/>
  <c r="I3" i="4"/>
  <c r="P2" i="4"/>
  <c r="I2" i="4"/>
  <c r="P20" i="3"/>
  <c r="I20" i="3"/>
  <c r="P19" i="3"/>
  <c r="I19" i="3"/>
  <c r="P18" i="3"/>
  <c r="I18" i="3"/>
  <c r="P17" i="3"/>
  <c r="I17" i="3"/>
  <c r="P16" i="3"/>
  <c r="I16" i="3"/>
  <c r="P15" i="3"/>
  <c r="I15" i="3"/>
  <c r="P14" i="3"/>
  <c r="I14" i="3"/>
  <c r="P13" i="3"/>
  <c r="I13" i="3"/>
  <c r="P12" i="3"/>
  <c r="I12" i="3"/>
  <c r="P11" i="3"/>
  <c r="I11" i="3"/>
  <c r="P10" i="3"/>
  <c r="I10" i="3"/>
  <c r="P9" i="3"/>
  <c r="I9" i="3"/>
  <c r="P8" i="3"/>
  <c r="I8" i="3"/>
  <c r="P7" i="3"/>
  <c r="I7" i="3"/>
  <c r="P6" i="3"/>
  <c r="I6" i="3"/>
  <c r="P5" i="3"/>
  <c r="I5" i="3"/>
  <c r="P4" i="3"/>
  <c r="I4" i="3"/>
  <c r="P3" i="3"/>
  <c r="I3" i="3"/>
  <c r="P2" i="3"/>
  <c r="I2" i="3"/>
  <c r="P100" i="2"/>
  <c r="I100" i="2"/>
  <c r="P99" i="2"/>
  <c r="I99" i="2"/>
  <c r="P98" i="2"/>
  <c r="I98" i="2"/>
  <c r="P97" i="2"/>
  <c r="I97" i="2"/>
  <c r="P96" i="2"/>
  <c r="I96" i="2"/>
  <c r="P95" i="2"/>
  <c r="I95" i="2"/>
  <c r="P94" i="2"/>
  <c r="I94" i="2"/>
  <c r="P93" i="2"/>
  <c r="I93" i="2"/>
  <c r="P92" i="2"/>
  <c r="I92" i="2"/>
  <c r="P91" i="2"/>
  <c r="I91" i="2"/>
  <c r="P90" i="2"/>
  <c r="I90" i="2"/>
  <c r="P89" i="2"/>
  <c r="I89" i="2"/>
  <c r="P88" i="2"/>
  <c r="I88" i="2"/>
  <c r="P87" i="2"/>
  <c r="I87" i="2"/>
  <c r="P86" i="2"/>
  <c r="I86" i="2"/>
  <c r="P85" i="2"/>
  <c r="I85" i="2"/>
  <c r="P84" i="2"/>
  <c r="I84" i="2"/>
  <c r="P83" i="2"/>
  <c r="I83" i="2"/>
  <c r="P82" i="2"/>
  <c r="I82" i="2"/>
  <c r="P81" i="2"/>
  <c r="I81" i="2"/>
  <c r="P80" i="2"/>
  <c r="I80" i="2"/>
  <c r="P79" i="2"/>
  <c r="I79" i="2"/>
  <c r="P78" i="2"/>
  <c r="I78" i="2"/>
  <c r="P77" i="2"/>
  <c r="I77" i="2"/>
  <c r="P76" i="2"/>
  <c r="I76" i="2"/>
  <c r="P75" i="2"/>
  <c r="I75" i="2"/>
  <c r="P74" i="2"/>
  <c r="I74" i="2"/>
  <c r="P73" i="2"/>
  <c r="I73" i="2"/>
  <c r="P72" i="2"/>
  <c r="I72" i="2"/>
  <c r="P71" i="2"/>
  <c r="I71" i="2"/>
  <c r="P70" i="2"/>
  <c r="I70" i="2"/>
  <c r="P69" i="2"/>
  <c r="I69" i="2"/>
  <c r="P68" i="2"/>
  <c r="I68" i="2"/>
  <c r="P67" i="2"/>
  <c r="I67" i="2"/>
  <c r="P66" i="2"/>
  <c r="I66" i="2"/>
  <c r="P65" i="2"/>
  <c r="I65" i="2"/>
  <c r="P64" i="2"/>
  <c r="I64" i="2"/>
  <c r="P63" i="2"/>
  <c r="I63" i="2"/>
  <c r="P62" i="2"/>
  <c r="I62" i="2"/>
  <c r="P61" i="2"/>
  <c r="I61" i="2"/>
  <c r="P60" i="2"/>
  <c r="I60" i="2"/>
  <c r="P59" i="2"/>
  <c r="I59" i="2"/>
  <c r="P58" i="2"/>
  <c r="I58" i="2"/>
  <c r="P57" i="2"/>
  <c r="I57" i="2"/>
  <c r="P56" i="2"/>
  <c r="I56" i="2"/>
  <c r="P55" i="2"/>
  <c r="I55" i="2"/>
  <c r="P54" i="2"/>
  <c r="I54" i="2"/>
  <c r="P53" i="2"/>
  <c r="I53" i="2"/>
  <c r="P52" i="2"/>
  <c r="I52" i="2"/>
  <c r="P51" i="2"/>
  <c r="I51" i="2"/>
  <c r="P50" i="2"/>
  <c r="I50" i="2"/>
  <c r="P49" i="2"/>
  <c r="I49" i="2"/>
  <c r="P48" i="2"/>
  <c r="I48" i="2"/>
  <c r="P47" i="2"/>
  <c r="I47" i="2"/>
  <c r="P46" i="2"/>
  <c r="I46" i="2"/>
  <c r="P45" i="2"/>
  <c r="I45" i="2"/>
  <c r="P44" i="2"/>
  <c r="I44" i="2"/>
  <c r="P43" i="2"/>
  <c r="I43" i="2"/>
  <c r="P42" i="2"/>
  <c r="I42" i="2"/>
  <c r="P41" i="2"/>
  <c r="I41" i="2"/>
  <c r="P40" i="2"/>
  <c r="I40" i="2"/>
  <c r="P39" i="2"/>
  <c r="I39" i="2"/>
  <c r="P38" i="2"/>
  <c r="I38" i="2"/>
  <c r="P37" i="2"/>
  <c r="I37" i="2"/>
  <c r="P36" i="2"/>
  <c r="I36" i="2"/>
  <c r="P35" i="2"/>
  <c r="I35" i="2"/>
  <c r="P34" i="2"/>
  <c r="I34" i="2"/>
  <c r="P33" i="2"/>
  <c r="I33" i="2"/>
  <c r="P32" i="2"/>
  <c r="I32" i="2"/>
  <c r="P31" i="2"/>
  <c r="I31" i="2"/>
  <c r="P30" i="2"/>
  <c r="I30" i="2"/>
  <c r="P29" i="2"/>
  <c r="I29" i="2"/>
  <c r="P28" i="2"/>
  <c r="I28" i="2"/>
  <c r="P27" i="2"/>
  <c r="I27" i="2"/>
  <c r="P26" i="2"/>
  <c r="I26" i="2"/>
  <c r="P25" i="2"/>
  <c r="I25" i="2"/>
  <c r="P24" i="2"/>
  <c r="I24" i="2"/>
  <c r="P23" i="2"/>
  <c r="I23" i="2"/>
  <c r="P22" i="2"/>
  <c r="I22" i="2"/>
  <c r="P21" i="2"/>
  <c r="I21" i="2"/>
  <c r="P20" i="2"/>
  <c r="I20" i="2"/>
  <c r="P19" i="2"/>
  <c r="I19" i="2"/>
  <c r="P18" i="2"/>
  <c r="I18" i="2"/>
  <c r="P17" i="2"/>
  <c r="I17" i="2"/>
  <c r="P16" i="2"/>
  <c r="I16" i="2"/>
  <c r="P15" i="2"/>
  <c r="I15" i="2"/>
  <c r="P14" i="2"/>
  <c r="I14" i="2"/>
  <c r="P13" i="2"/>
  <c r="I13" i="2"/>
  <c r="P12" i="2"/>
  <c r="I12" i="2"/>
  <c r="P11" i="2"/>
  <c r="I11" i="2"/>
  <c r="P10" i="2"/>
  <c r="I10" i="2"/>
  <c r="P9" i="2"/>
  <c r="I9" i="2"/>
  <c r="P8" i="2"/>
  <c r="I8" i="2"/>
  <c r="P7" i="2"/>
  <c r="I7" i="2"/>
  <c r="P6" i="2"/>
  <c r="I6" i="2"/>
  <c r="P5" i="2"/>
  <c r="I5" i="2"/>
  <c r="P4" i="2"/>
  <c r="I4" i="2"/>
  <c r="P3" i="2"/>
  <c r="I3" i="2"/>
  <c r="P2" i="2"/>
  <c r="I2" i="2"/>
  <c r="D26" i="1"/>
  <c r="C26" i="1"/>
  <c r="B26" i="1"/>
  <c r="N25" i="1"/>
  <c r="M25" i="1"/>
  <c r="L25" i="1"/>
  <c r="K25" i="1"/>
  <c r="J25" i="1"/>
  <c r="I25" i="1"/>
  <c r="D25" i="1"/>
  <c r="C25" i="1"/>
  <c r="B25" i="1"/>
  <c r="N24" i="1"/>
  <c r="M24" i="1"/>
  <c r="L24" i="1"/>
  <c r="K24" i="1"/>
  <c r="J24" i="1"/>
  <c r="I24" i="1"/>
  <c r="D24" i="1"/>
  <c r="C24" i="1"/>
  <c r="B24" i="1"/>
  <c r="N23" i="1"/>
  <c r="M23" i="1"/>
  <c r="L23" i="1"/>
  <c r="K23" i="1"/>
  <c r="J23" i="1"/>
  <c r="I23" i="1"/>
  <c r="D23" i="1"/>
  <c r="C23" i="1"/>
  <c r="B23" i="1"/>
  <c r="N22" i="1"/>
  <c r="M22" i="1"/>
  <c r="L22" i="1"/>
  <c r="K22" i="1"/>
  <c r="J22" i="1"/>
  <c r="I22" i="1"/>
  <c r="D22" i="1"/>
  <c r="C22" i="1"/>
  <c r="B22" i="1"/>
  <c r="N21" i="1"/>
  <c r="M21" i="1"/>
  <c r="L21" i="1"/>
  <c r="K21" i="1"/>
  <c r="J21" i="1"/>
  <c r="I21" i="1"/>
  <c r="D21" i="1"/>
  <c r="C21" i="1"/>
  <c r="B21" i="1"/>
  <c r="E16" i="1"/>
  <c r="D16" i="1"/>
  <c r="C16" i="1"/>
  <c r="B16" i="1"/>
  <c r="F16" i="1" s="1"/>
  <c r="J15" i="1"/>
  <c r="I15" i="1"/>
  <c r="E15" i="1"/>
  <c r="D15" i="1"/>
  <c r="C15" i="1"/>
  <c r="B15" i="1"/>
  <c r="F15" i="1" s="1"/>
  <c r="J14" i="1"/>
  <c r="I14" i="1"/>
  <c r="F14" i="1"/>
  <c r="E14" i="1"/>
  <c r="D14" i="1"/>
  <c r="C14" i="1"/>
  <c r="B14" i="1"/>
  <c r="J13" i="1"/>
  <c r="I13" i="1"/>
  <c r="E13" i="1"/>
  <c r="D13" i="1"/>
  <c r="C13" i="1"/>
  <c r="B13" i="1"/>
  <c r="F13" i="1" s="1"/>
  <c r="J12" i="1"/>
  <c r="I12" i="1"/>
  <c r="E12" i="1"/>
  <c r="D12" i="1"/>
  <c r="C12" i="1"/>
  <c r="B12" i="1"/>
  <c r="F12" i="1" s="1"/>
  <c r="B8" i="1"/>
  <c r="B7" i="1"/>
  <c r="B6" i="1"/>
  <c r="B5" i="1"/>
  <c r="B4" i="1"/>
</calcChain>
</file>

<file path=xl/sharedStrings.xml><?xml version="1.0" encoding="utf-8"?>
<sst xmlns="http://schemas.openxmlformats.org/spreadsheetml/2006/main" count="2524" uniqueCount="676">
  <si>
    <t>Horizon AMS Reinvention — First 180 Days Transition Dashboard</t>
  </si>
  <si>
    <t>Plan start: July 1, 2026 | Scope: Transition, QE, AIOps, CareOps360, Agile/Product model | Update % Complete / Status in Master Plan to refresh tracking views</t>
  </si>
  <si>
    <t>Total Tasks</t>
  </si>
  <si>
    <t>Completed</t>
  </si>
  <si>
    <t>At Risk / Blocked</t>
  </si>
  <si>
    <t>Avg % Complete</t>
  </si>
  <si>
    <t>Critical/High Tasks</t>
  </si>
  <si>
    <t>Workstream</t>
  </si>
  <si>
    <t>Tasks</t>
  </si>
  <si>
    <t>In Progress</t>
  </si>
  <si>
    <t>At Risk/Blocked</t>
  </si>
  <si>
    <t>Phase</t>
  </si>
  <si>
    <t>Overall Transition</t>
  </si>
  <si>
    <t>0-30 Foundation</t>
  </si>
  <si>
    <t>Quality Engineering</t>
  </si>
  <si>
    <t>31-60 Production Ready</t>
  </si>
  <si>
    <t>AIOps Implementation</t>
  </si>
  <si>
    <t>61-90 Standardize &amp; Integrate</t>
  </si>
  <si>
    <t>CareOps360</t>
  </si>
  <si>
    <t>91-180 Scale &amp; Optimize</t>
  </si>
  <si>
    <t>Agile Product Model</t>
  </si>
  <si>
    <t>Month</t>
  </si>
  <si>
    <t>Milestones Ending</t>
  </si>
  <si>
    <t>Tasks Starting</t>
  </si>
  <si>
    <t>Cumulative Tasks Ending</t>
  </si>
  <si>
    <t>Jul</t>
  </si>
  <si>
    <t>Aug</t>
  </si>
  <si>
    <t>Sep</t>
  </si>
  <si>
    <t>Oct</t>
  </si>
  <si>
    <t>Nov</t>
  </si>
  <si>
    <t>Dec</t>
  </si>
  <si>
    <t>Source / planning assumptions: Plan is derived from the Horizon AMS Reinvention Round 2 Orals deck and assumes a July 1, 2026 transition start. Dates, owners and dependencies should be finalized with Horizon during transition mobilization. Update task Status and % Complete in the Master Plan to refresh dashboard formulas.</t>
  </si>
  <si>
    <t>ID</t>
  </si>
  <si>
    <t>Task / Activity</t>
  </si>
  <si>
    <t>IBM Owner</t>
  </si>
  <si>
    <t>Horizon Owner</t>
  </si>
  <si>
    <t>Start Date</t>
  </si>
  <si>
    <t>End Date</t>
  </si>
  <si>
    <t>Duration Days</t>
  </si>
  <si>
    <t>Dependencies</t>
  </si>
  <si>
    <t>Deliverable / Milestone</t>
  </si>
  <si>
    <t>Success Metric</t>
  </si>
  <si>
    <t>Status</t>
  </si>
  <si>
    <t>Priority</t>
  </si>
  <si>
    <t>% Complete</t>
  </si>
  <si>
    <t>RAG</t>
  </si>
  <si>
    <t>Notes</t>
  </si>
  <si>
    <t>OVE-01</t>
  </si>
  <si>
    <t>Confirm transition charter, scope, governance cadence and 180-day success criteria</t>
  </si>
  <si>
    <t>IBM Transformation Lead</t>
  </si>
  <si>
    <t>Horizon Executive Sponsor</t>
  </si>
  <si>
    <t>Signed transition charter</t>
  </si>
  <si>
    <t>Steering cadence active; 180-day KPIs approved</t>
  </si>
  <si>
    <t>Not Started</t>
  </si>
  <si>
    <t>High</t>
  </si>
  <si>
    <t>OVE-02</t>
  </si>
  <si>
    <t>Establish integrated transition command center and daily/weekly operating rhythm</t>
  </si>
  <si>
    <t>IBM Delivery Lead</t>
  </si>
  <si>
    <t>Horizon PMO</t>
  </si>
  <si>
    <t>TR-01</t>
  </si>
  <si>
    <t>Transition command center</t>
  </si>
  <si>
    <t>Daily standups, weekly operating review, escalation path live</t>
  </si>
  <si>
    <t>OVE-03</t>
  </si>
  <si>
    <t>Validate in-scope applications, services, SLAs, owners and incumbent knowledge repositories</t>
  </si>
  <si>
    <t>IBM Transition Manager</t>
  </si>
  <si>
    <t>Horizon App Owners</t>
  </si>
  <si>
    <t>Validated inventory and SLA baseline</t>
  </si>
  <si>
    <t>100% critical services mapped</t>
  </si>
  <si>
    <t>OVE-04</t>
  </si>
  <si>
    <t>Complete access, environment, tooling and onboarding plan for IBM transition resources</t>
  </si>
  <si>
    <t>Horizon Security / ITSM</t>
  </si>
  <si>
    <t>Access tracker and onboarding plan</t>
  </si>
  <si>
    <t>Access SLA agreed; blockers visible</t>
  </si>
  <si>
    <t>OVE-05</t>
  </si>
  <si>
    <t>Execute knowledge transfer wave 1 for critical applications and operations processes</t>
  </si>
  <si>
    <t>IBM App Leads</t>
  </si>
  <si>
    <t>Horizon SMEs</t>
  </si>
  <si>
    <t>TR-03;TR-04</t>
  </si>
  <si>
    <t>KT wave 1 artifacts</t>
  </si>
  <si>
    <t>Critical apps have runbooks, support matrix and SME sign-off</t>
  </si>
  <si>
    <t>OVE-06</t>
  </si>
  <si>
    <t>Baseline current incident, request, change, defect and deployment metrics</t>
  </si>
  <si>
    <t>IBM Service Delivery Manager</t>
  </si>
  <si>
    <t>Horizon ITSM Lead</t>
  </si>
  <si>
    <t>TR-03</t>
  </si>
  <si>
    <t>Operational baseline dashboard</t>
  </si>
  <si>
    <t>MTTR, ticket volume, backlog aging and SLA baseline captured</t>
  </si>
  <si>
    <t>OVE-07</t>
  </si>
  <si>
    <t>Map AMS towers to initial product/value-stream POD structure</t>
  </si>
  <si>
    <t>IBM Product Engineering Lead</t>
  </si>
  <si>
    <t>Horizon Product Owners</t>
  </si>
  <si>
    <t>Initial POD alignment map</t>
  </si>
  <si>
    <t>Applications mapped to domains/value streams</t>
  </si>
  <si>
    <t>OVE-08</t>
  </si>
  <si>
    <t>Finalize interim run/support model and hypercare approach for first 60 days</t>
  </si>
  <si>
    <t>Horizon Operations Lead</t>
  </si>
  <si>
    <t>TR-02;TR-05</t>
  </si>
  <si>
    <t>Run support model</t>
  </si>
  <si>
    <t>No service disruption; escalation path tested</t>
  </si>
  <si>
    <t>OVE-09</t>
  </si>
  <si>
    <t>Stabilize delivery governance, integrated risk log, dependency log and executive reporting</t>
  </si>
  <si>
    <t>IBM Transformation Office</t>
  </si>
  <si>
    <t>TR-02;TR-06</t>
  </si>
  <si>
    <t>Governance pack</t>
  </si>
  <si>
    <t>Weekly reporting with risks, dependencies and KPIs</t>
  </si>
  <si>
    <t>OVE-10</t>
  </si>
  <si>
    <t>Complete knowledge transfer wave 2 for business-critical and medium-critical applications</t>
  </si>
  <si>
    <t>TR-05</t>
  </si>
  <si>
    <t>KT wave 2 artifacts</t>
  </si>
  <si>
    <t>&gt;85% KT completion; gaps documented</t>
  </si>
  <si>
    <t>OVE-11</t>
  </si>
  <si>
    <t>Transition service delivery accountability to IBM POD/service leads with shadow-to-reverse-shadow plan</t>
  </si>
  <si>
    <t>TR-08;TR-10</t>
  </si>
  <si>
    <t>Service transition cutover checklist</t>
  </si>
  <si>
    <t>POD leads own daily execution</t>
  </si>
  <si>
    <t>OVE-12</t>
  </si>
  <si>
    <t>Implement SLA/CSL reporting pack aligned to business KPIs and operational metrics</t>
  </si>
  <si>
    <t>TR-06;TR-09</t>
  </si>
  <si>
    <t>SLA/CSL dashboard</t>
  </si>
  <si>
    <t>Business KPIs and critical service levels visible monthly</t>
  </si>
  <si>
    <t>OVE-13</t>
  </si>
  <si>
    <t>Optimize support model based on 60-day learnings and adjust staffing by product demand</t>
  </si>
  <si>
    <t>TR-11;TR-12</t>
  </si>
  <si>
    <t>Optimized support model</t>
  </si>
  <si>
    <t>Backlog and incident queues balanced by domain</t>
  </si>
  <si>
    <t>OVE-14</t>
  </si>
  <si>
    <t>Launch transformation backlog intake for tech debt, ticket reduction and strategic initiatives</t>
  </si>
  <si>
    <t>Horizon Portfolio Lead</t>
  </si>
  <si>
    <t>TR-09</t>
  </si>
  <si>
    <t>Transformation backlog</t>
  </si>
  <si>
    <t>Initiatives scored by value, risk and feasibility</t>
  </si>
  <si>
    <t>OVE-15</t>
  </si>
  <si>
    <t>Run first value realization review and confirm reinvestment / modernization candidates</t>
  </si>
  <si>
    <t>TR-14</t>
  </si>
  <si>
    <t>Value review readout</t>
  </si>
  <si>
    <t>Savings and value opportunities quantified</t>
  </si>
  <si>
    <t>OVE-16</t>
  </si>
  <si>
    <t>Scale transition governance into product-centric monthly/quarterly operating model</t>
  </si>
  <si>
    <t>TR-13;TR-15</t>
  </si>
  <si>
    <t>Quarterly operating model</t>
  </si>
  <si>
    <t>Product roadmap, KPI, financial and value governance running</t>
  </si>
  <si>
    <t>OVE-17</t>
  </si>
  <si>
    <t>Implement continuous improvement loop for incidents, RCA, automation and knowledge updates</t>
  </si>
  <si>
    <t>IBM SRE / Ops Lead</t>
  </si>
  <si>
    <t>TR-13</t>
  </si>
  <si>
    <t>Continuous improvement backlog</t>
  </si>
  <si>
    <t>Repeat incidents trend down; RCA actions tracked</t>
  </si>
  <si>
    <t>OVE-18</t>
  </si>
  <si>
    <t>Finalize Year-1 transformation roadmap refresh using 180-day operating data</t>
  </si>
  <si>
    <t>TR-15;TR-17</t>
  </si>
  <si>
    <t>Year-1 roadmap refresh</t>
  </si>
  <si>
    <t>Funded roadmap with near-term priorities</t>
  </si>
  <si>
    <t>OVE-19</t>
  </si>
  <si>
    <t>Execute 180-day transition health assessment and transition-to-steady-state acceptance</t>
  </si>
  <si>
    <t>TR-16;TR-18</t>
  </si>
  <si>
    <t>180-day acceptance report</t>
  </si>
  <si>
    <t>Steady-state acceptance and remaining actions signed off</t>
  </si>
  <si>
    <t>QUA-01</t>
  </si>
  <si>
    <t>[QE] Mobilize QE transition team, clarify testing scope and confirm QE governance</t>
  </si>
  <si>
    <t>IBM QE Lead</t>
  </si>
  <si>
    <t>Horizon QA Lead</t>
  </si>
  <si>
    <t>QE mobilization plan</t>
  </si>
  <si>
    <t>QE governance and owners confirmed</t>
  </si>
  <si>
    <t>QUA-02</t>
  </si>
  <si>
    <t>[QE] Assess current test assets, automation coverage, defect leakage and regression cycle health</t>
  </si>
  <si>
    <t>IBM QE Architect</t>
  </si>
  <si>
    <t>QE maturity assessment</t>
  </si>
  <si>
    <t>Automation baseline, test pack gaps and defect trends documented</t>
  </si>
  <si>
    <t>QUA-03</t>
  </si>
  <si>
    <t>[QE] Define end-to-end QE strategy: shift-left, BDD/TDD, SIT, UAT support and non-functional testing</t>
  </si>
  <si>
    <t>QE strategy and playbook</t>
  </si>
  <si>
    <t>Standardized test lifecycle agreed</t>
  </si>
  <si>
    <t>QUA-04</t>
  </si>
  <si>
    <t>[QE] Inventory critical business flows and identify regression pack rationalization opportunities</t>
  </si>
  <si>
    <t>IBM QE Analyst</t>
  </si>
  <si>
    <t>Horizon Business SMEs</t>
  </si>
  <si>
    <t>Critical flow catalog</t>
  </si>
  <si>
    <t>Top flows prioritized by business risk</t>
  </si>
  <si>
    <t>QUA-05</t>
  </si>
  <si>
    <t>[QE] Establish requirement-to-test traceability model in Jira/GitHub/toolchain</t>
  </si>
  <si>
    <t>Horizon Tooling Lead</t>
  </si>
  <si>
    <t>Traceability model</t>
  </si>
  <si>
    <t>Stories, acceptance criteria and tests linked</t>
  </si>
  <si>
    <t>QUA-06</t>
  </si>
  <si>
    <t>[QE] Define test data management strategy including masking, synthetic data and reusable gold copy</t>
  </si>
  <si>
    <t>IBM TDM Lead</t>
  </si>
  <si>
    <t>Horizon Data Owner</t>
  </si>
  <si>
    <t>TDM strategy</t>
  </si>
  <si>
    <t>Data privacy, reuse and refresh strategy approved</t>
  </si>
  <si>
    <t>QUA-07</t>
  </si>
  <si>
    <t>[QE] Identify service virtualization/stub needs for APIs, batch, file feeds and external dependencies</t>
  </si>
  <si>
    <t>Horizon Integration Lead</t>
  </si>
  <si>
    <t>Service virtualization backlog</t>
  </si>
  <si>
    <t>High-dependency flows prioritized</t>
  </si>
  <si>
    <t>QUA-08</t>
  </si>
  <si>
    <t>[QE] Stand up QE CoE operating model, standards, templates and metrics dashboard</t>
  </si>
  <si>
    <t>QUA-01;QUA-03</t>
  </si>
  <si>
    <t>QE CoE model</t>
  </si>
  <si>
    <t>Common metrics and templates used by PODs</t>
  </si>
  <si>
    <t>QUA-09</t>
  </si>
  <si>
    <t>[QE] Rationalize existing regression suite and remove redundant / low-value tests</t>
  </si>
  <si>
    <t>IBM QE Factory Lead</t>
  </si>
  <si>
    <t>Optimized regression pack</t>
  </si>
  <si>
    <t>Regression pack reduced without coverage loss</t>
  </si>
  <si>
    <t>QUA-10</t>
  </si>
  <si>
    <t>[QE] Implement AI-assisted test case generation pilot from requirements/user stories</t>
  </si>
  <si>
    <t>IBM QE Automation Lead</t>
  </si>
  <si>
    <t>AI test generation pilot</t>
  </si>
  <si>
    <t>Req-to-test productivity baseline captured</t>
  </si>
  <si>
    <t>QUA-11</t>
  </si>
  <si>
    <t>[QE] Build automation framework enhancements for API, UI, component and batch regression</t>
  </si>
  <si>
    <t>Horizon DevOps Lead</t>
  </si>
  <si>
    <t>QUA-07;QUA-09</t>
  </si>
  <si>
    <t>Automation framework update</t>
  </si>
  <si>
    <t>Reusable framework supports CI/CD integration</t>
  </si>
  <si>
    <t>QUA-12</t>
  </si>
  <si>
    <t>[QE] Create first automated smoke and regression packs for pilot product POD</t>
  </si>
  <si>
    <t>QUA-10;QUA-11</t>
  </si>
  <si>
    <t>Pilot automated pack</t>
  </si>
  <si>
    <t>Smoke tests executable in pipeline</t>
  </si>
  <si>
    <t>QUA-13</t>
  </si>
  <si>
    <t>[QE] Integrate automated tests into CI/CD gates for pilot cloud applications</t>
  </si>
  <si>
    <t>IBM DevSecOps Lead</t>
  </si>
  <si>
    <t>QUA-11;QUA-12</t>
  </si>
  <si>
    <t>CI/CD quality gates</t>
  </si>
  <si>
    <t>Automated tests triggered on builds/deployments</t>
  </si>
  <si>
    <t>QUA-14</t>
  </si>
  <si>
    <t>[QE] Implement TDM self-service intake and data request tracker for priority domains</t>
  </si>
  <si>
    <t>TDM intake tracker</t>
  </si>
  <si>
    <t>Data request aging and reuse visible</t>
  </si>
  <si>
    <t>QUA-15</t>
  </si>
  <si>
    <t>[QE] Pilot service virtualization for top dependency-constrained flows</t>
  </si>
  <si>
    <t>QUA-07;QUA-11</t>
  </si>
  <si>
    <t>Virtualized service pilot</t>
  </si>
  <si>
    <t>Dependency wait time reduced for pilot flows</t>
  </si>
  <si>
    <t>QUA-16</t>
  </si>
  <si>
    <t>[QE] Launch defect prevention analytics: root cause categories, escaped defects and re-open trends</t>
  </si>
  <si>
    <t>QUA-08;QUA-13</t>
  </si>
  <si>
    <t>Defect analytics dashboard</t>
  </si>
  <si>
    <t>Defect leakage and repeat causes tracked</t>
  </si>
  <si>
    <t>QUA-17</t>
  </si>
  <si>
    <t>[QE] Scale automation to additional product PODs based on business criticality</t>
  </si>
  <si>
    <t>QUA-12;QUA-13</t>
  </si>
  <si>
    <t>Scaled automation backlog</t>
  </si>
  <si>
    <t>Automation coverage improves monthly</t>
  </si>
  <si>
    <t>QUA-18</t>
  </si>
  <si>
    <t>[QE] Deploy agentic QE workflow: requirements-to-test, test-to-BDD and BDD-to-automation</t>
  </si>
  <si>
    <t>QUA-10;QUA-17</t>
  </si>
  <si>
    <t>Agentic QE workflow</t>
  </si>
  <si>
    <t>Time-to-test reduction measured</t>
  </si>
  <si>
    <t>QUA-19</t>
  </si>
  <si>
    <t>[QE] Expand non-functional testing model: performance, resilience, security and accessibility checkpoints</t>
  </si>
  <si>
    <t>Horizon NFR Owners</t>
  </si>
  <si>
    <t>QUA-03;QUA-13</t>
  </si>
  <si>
    <t>NFR testing playbook</t>
  </si>
  <si>
    <t>NFR entry/exit criteria embedded</t>
  </si>
  <si>
    <t>QUA-20</t>
  </si>
  <si>
    <t>[QE] Establish continuous regression and release readiness scorecard</t>
  </si>
  <si>
    <t>Horizon Release Manager</t>
  </si>
  <si>
    <t>QUA-16;QUA-17</t>
  </si>
  <si>
    <t>Release readiness scorecard</t>
  </si>
  <si>
    <t>Quality delivery to UAT/Prod tracked</t>
  </si>
  <si>
    <t>QUA-21</t>
  </si>
  <si>
    <t>[QE] Conduct 180-day QE maturity reassessment and finalize scale roadmap</t>
  </si>
  <si>
    <t>QUA-18;QUA-20</t>
  </si>
  <si>
    <t>QE scale roadmap</t>
  </si>
  <si>
    <t>Maturity improvement and next-wave roadmap approved</t>
  </si>
  <si>
    <t>AIO-01</t>
  </si>
  <si>
    <t>Confirm AIOps scope, target architecture, ARB/security path and first 5 AWS-hosted applications</t>
  </si>
  <si>
    <t>IBM AIOps Program Manager</t>
  </si>
  <si>
    <t>Horizon ARB / Security</t>
  </si>
  <si>
    <t>AIOps implementation charter</t>
  </si>
  <si>
    <t>Scope and approval path agreed</t>
  </si>
  <si>
    <t>AIO-02</t>
  </si>
  <si>
    <t>Provision AIOps dev/test environments and connectivity pattern for Horizon ecosystem</t>
  </si>
  <si>
    <t>IBM AIOps Architect</t>
  </si>
  <si>
    <t>Horizon Infrastructure Lead</t>
  </si>
  <si>
    <t>AIOps environment ready</t>
  </si>
  <si>
    <t>Environment provisioned; connectivity tested</t>
  </si>
  <si>
    <t>AIO-03</t>
  </si>
  <si>
    <t>Ingest historical ITSM ticket data and establish ticket taxonomy, resolution patterns and knowledge sources</t>
  </si>
  <si>
    <t>IBM AIOps Data Lead</t>
  </si>
  <si>
    <t>Historical data ingestion</t>
  </si>
  <si>
    <t>Ticket data loaded and normalized</t>
  </si>
  <si>
    <t>AIO-04</t>
  </si>
  <si>
    <t>Integrate ServiceNow/ClearQuest transition considerations and define ITSM workflow interfaces</t>
  </si>
  <si>
    <t>IBM ITSM Integration Lead</t>
  </si>
  <si>
    <t>AIO-01;AIO-03</t>
  </si>
  <si>
    <t>ITSM integration design</t>
  </si>
  <si>
    <t>Workflow and data contracts agreed</t>
  </si>
  <si>
    <t>AIO-05</t>
  </si>
  <si>
    <t>Connect priority monitoring sources and logs for first cloud-app pilot set</t>
  </si>
  <si>
    <t>IBM Observability Lead</t>
  </si>
  <si>
    <t>Horizon Monitoring Lead</t>
  </si>
  <si>
    <t>Pilot observability integrations</t>
  </si>
  <si>
    <t>Initial alerts/logs flowing</t>
  </si>
  <si>
    <t>AIO-06</t>
  </si>
  <si>
    <t>Configure default AIOps dashboards for operations, leadership and product teams</t>
  </si>
  <si>
    <t>IBM AIOps Lead</t>
  </si>
  <si>
    <t>AIO-03;AIO-05</t>
  </si>
  <si>
    <t>Default dashboards</t>
  </si>
  <si>
    <t>Operational visibility available</t>
  </si>
  <si>
    <t>AIO-07</t>
  </si>
  <si>
    <t>Train initial models for alert grouping, noise reduction and auto-triage</t>
  </si>
  <si>
    <t>IBM AIOps Data Scientist</t>
  </si>
  <si>
    <t>Horizon Operations SMEs</t>
  </si>
  <si>
    <t>Model training baseline</t>
  </si>
  <si>
    <t>Initial auto-triage accuracy baseline</t>
  </si>
  <si>
    <t>AIO-08</t>
  </si>
  <si>
    <t>Validate auto-triage for first 5 AWS-hosted applications with human-in-the-loop governance</t>
  </si>
  <si>
    <t>AIO-05;AIO-07</t>
  </si>
  <si>
    <t>Auto-triage pilot</t>
  </si>
  <si>
    <t>Pilot apps validated for triage recommendations</t>
  </si>
  <si>
    <t>AIO-09</t>
  </si>
  <si>
    <t>Curate knowledge corpus from runbooks, SOPs, RCA and incident resolutions</t>
  </si>
  <si>
    <t>IBM Knowledge Manager</t>
  </si>
  <si>
    <t>AIO-03;AIO-07</t>
  </si>
  <si>
    <t>Knowledge corpus</t>
  </si>
  <si>
    <t>Runbooks and resolutions searchable by agents</t>
  </si>
  <si>
    <t>AIO-10</t>
  </si>
  <si>
    <t>Define controlled auto-remediation candidate backlog and risk guardrails</t>
  </si>
  <si>
    <t>IBM SRE Lead</t>
  </si>
  <si>
    <t>Horizon Risk / Security</t>
  </si>
  <si>
    <t>AIO-08;AIO-09</t>
  </si>
  <si>
    <t>Runbook automation backlog</t>
  </si>
  <si>
    <t>Low-risk candidates approved</t>
  </si>
  <si>
    <t>AIO-11</t>
  </si>
  <si>
    <t>Standardize log, event and alert normalization across cloud applications</t>
  </si>
  <si>
    <t>Standardized ingestion rules</t>
  </si>
  <si>
    <t>Consistent alert taxonomy across cloud apps</t>
  </si>
  <si>
    <t>AIO-12</t>
  </si>
  <si>
    <t>Onboard remaining cloud applications and selected on-premise systems to AIOps ingestion</t>
  </si>
  <si>
    <t>Expanded AIOps onboarding</t>
  </si>
  <si>
    <t>Coverage expanded beyond pilot apps</t>
  </si>
  <si>
    <t>AIO-13</t>
  </si>
  <si>
    <t>Enable AI-assisted recommendations for high-volume incident categories</t>
  </si>
  <si>
    <t>AIO-09;AIO-11</t>
  </si>
  <si>
    <t>Recommendation engine pilot</t>
  </si>
  <si>
    <t>Recommendations available for priority incidents</t>
  </si>
  <si>
    <t>AIO-14</t>
  </si>
  <si>
    <t>Pilot auto-healing for system-generated, low-risk incidents with audit trail</t>
  </si>
  <si>
    <t>Horizon Security / Operations</t>
  </si>
  <si>
    <t>AIO-10;AIO-13</t>
  </si>
  <si>
    <t>Auto-healing pilot</t>
  </si>
  <si>
    <t>Remediation success/failures audited</t>
  </si>
  <si>
    <t>AIO-15</t>
  </si>
  <si>
    <t>Expand proactive alerting and predictive insights before business impact</t>
  </si>
  <si>
    <t>AIO-12;AIO-13</t>
  </si>
  <si>
    <t>Predictive alerting capability</t>
  </si>
  <si>
    <t>Incidents prevented or detected earlier</t>
  </si>
  <si>
    <t>AIO-16</t>
  </si>
  <si>
    <t>Integrate infrastructure logs and operational KPIs into single-pane AIOps view</t>
  </si>
  <si>
    <t>Infrastructure observability integration</t>
  </si>
  <si>
    <t>Infra and app signals visible together</t>
  </si>
  <si>
    <t>AIO-17</t>
  </si>
  <si>
    <t>Scale auto-recommendations toward 50% of incoming incidents for cloud applications</t>
  </si>
  <si>
    <t>AIO-13;AIO-15</t>
  </si>
  <si>
    <t>Scaled recommendations</t>
  </si>
  <si>
    <t>Recommendation coverage and acceptance tracked</t>
  </si>
  <si>
    <t>AIO-18</t>
  </si>
  <si>
    <t>Scale runbook automation across top repeatable incident and service request patterns</t>
  </si>
  <si>
    <t>AIO-14;AIO-17</t>
  </si>
  <si>
    <t>Runbook automation scale</t>
  </si>
  <si>
    <t>Automation closures and MTTR impact measured</t>
  </si>
  <si>
    <t>AIO-19</t>
  </si>
  <si>
    <t>Operationalize AIOps governance: model feedback, guardrails, auditability and KPI review</t>
  </si>
  <si>
    <t>Horizon Risk / Compliance</t>
  </si>
  <si>
    <t>AIO-14;AIO-18</t>
  </si>
  <si>
    <t>AIOps governance model</t>
  </si>
  <si>
    <t>Human-in-loop and audit controls active</t>
  </si>
  <si>
    <t>AIO-20</t>
  </si>
  <si>
    <t>Complete 180-day AIOps value assessment and next-wave autonomous operations roadmap</t>
  </si>
  <si>
    <t>AIO-18;AIO-19</t>
  </si>
  <si>
    <t>AIOps value assessment</t>
  </si>
  <si>
    <t>MTTR/noise/productivity progress captured</t>
  </si>
  <si>
    <t>CAR-01</t>
  </si>
  <si>
    <t>Secure CareOps360 MVP scope, executive dashboard personas and success criteria</t>
  </si>
  <si>
    <t>CareOps360 Product Owner</t>
  </si>
  <si>
    <t>Horizon Transformation Sponsor</t>
  </si>
  <si>
    <t>MVP scope and dashboard personas</t>
  </si>
  <si>
    <t>MVP personas and dashboard objectives approved</t>
  </si>
  <si>
    <t>CAR-02</t>
  </si>
  <si>
    <t>Obtain ARB Light approval and define MVP deployment architecture</t>
  </si>
  <si>
    <t>CareOps360 Architect</t>
  </si>
  <si>
    <t>ARB Light approval package</t>
  </si>
  <si>
    <t>MVP approval path clear</t>
  </si>
  <si>
    <t>CAR-03</t>
  </si>
  <si>
    <t>Deploy containerized CareOps360 to OCP/AWS dev environment</t>
  </si>
  <si>
    <t>CareOps360 Engineering Lead</t>
  </si>
  <si>
    <t>Horizon Platform Lead</t>
  </si>
  <si>
    <t>CareOps360 dev deployment</t>
  </si>
  <si>
    <t>Application deployed in dev</t>
  </si>
  <si>
    <t>CAR-04</t>
  </si>
  <si>
    <t>Provision RDS Postgres schema and baseline data model for dashboards</t>
  </si>
  <si>
    <t>CareOps360 Data Lead</t>
  </si>
  <si>
    <t>Data schema and model</t>
  </si>
  <si>
    <t>Schema ready for MVP data loads</t>
  </si>
  <si>
    <t>CAR-05</t>
  </si>
  <si>
    <t>Manually load initial data for Executive Overview, Claims, Prior Auth and Providers views</t>
  </si>
  <si>
    <t>Horizon Domain Owners</t>
  </si>
  <si>
    <t>Initial dashboard data loads</t>
  </si>
  <si>
    <t>MVP views populated</t>
  </si>
  <si>
    <t>CAR-06</t>
  </si>
  <si>
    <t>Configure dashboard layouts, KPI definitions and role-based page access</t>
  </si>
  <si>
    <t>Horizon Business Owners</t>
  </si>
  <si>
    <t>CAR-01;CAR-05</t>
  </si>
  <si>
    <t>MVP dashboard configuration</t>
  </si>
  <si>
    <t>Dashboard tiles and KPIs validated</t>
  </si>
  <si>
    <t>CAR-07</t>
  </si>
  <si>
    <t>Conduct MVP playback and prioritize production hardening backlog</t>
  </si>
  <si>
    <t>Horizon Stakeholders</t>
  </si>
  <si>
    <t>CAR-03;CAR-06</t>
  </si>
  <si>
    <t>MVP playback readout</t>
  </si>
  <si>
    <t>Feedback converted to backlog</t>
  </si>
  <si>
    <t>CAR-08</t>
  </si>
  <si>
    <t>Promote MVP through Horizon release process with SSO and RBAC configured</t>
  </si>
  <si>
    <t>Horizon Security / Release</t>
  </si>
  <si>
    <t>Production-ready MVP</t>
  </si>
  <si>
    <t>SSO/RBAC and release gates passed</t>
  </si>
  <si>
    <t>CAR-09</t>
  </si>
  <si>
    <t>Design target-state near-real-time architecture with Kafka/MSK and data contracts</t>
  </si>
  <si>
    <t>Horizon Data / Integration</t>
  </si>
  <si>
    <t>CAR-04;CAR-07</t>
  </si>
  <si>
    <t>Target architecture</t>
  </si>
  <si>
    <t>Data contracts and integration pattern approved</t>
  </si>
  <si>
    <t>CAR-10</t>
  </si>
  <si>
    <t>Obtain ARB approval for target CareOps360 architecture</t>
  </si>
  <si>
    <t>ARB approval</t>
  </si>
  <si>
    <t>Target architecture approved</t>
  </si>
  <si>
    <t>CAR-11</t>
  </si>
  <si>
    <t>Define CareOps360 operating model, support model and product ownership cadence</t>
  </si>
  <si>
    <t>CareOps360 operating model</t>
  </si>
  <si>
    <t>Backlog and release cadence active</t>
  </si>
  <si>
    <t>CAR-12</t>
  </si>
  <si>
    <t>Build ingestion platform in AWS using infrastructure-as-code, MSK and observability tools</t>
  </si>
  <si>
    <t>CAR-09;CAR-10</t>
  </si>
  <si>
    <t>Automated ingestion platform</t>
  </si>
  <si>
    <t>IaC pipeline and MSK foundation built</t>
  </si>
  <si>
    <t>CAR-13</t>
  </si>
  <si>
    <t>Automate top 4-6 sources including ServiceNow, APM and Databricks</t>
  </si>
  <si>
    <t>Horizon Source Owners</t>
  </si>
  <si>
    <t>Automated source integrations</t>
  </si>
  <si>
    <t>Priority integrations automated</t>
  </si>
  <si>
    <t>CAR-14</t>
  </si>
  <si>
    <t>Enable previously-disabled dashboard tiles and validate data quality rules</t>
  </si>
  <si>
    <t>Expanded dashboard tiles</t>
  </si>
  <si>
    <t>Tiles refreshed automatically with DQ rules</t>
  </si>
  <si>
    <t>CAR-15</t>
  </si>
  <si>
    <t>Publish adoption plan, training assets and leadership consumption cadence</t>
  </si>
  <si>
    <t>CareOps360 Change Lead</t>
  </si>
  <si>
    <t>Horizon Transformation Office</t>
  </si>
  <si>
    <t>Adoption and training pack</t>
  </si>
  <si>
    <t>Users onboarded; consumption cadence active</t>
  </si>
  <si>
    <t>CAR-16</t>
  </si>
  <si>
    <t>Migrate remaining sources including Contact Center, RPA and Provider Data Management</t>
  </si>
  <si>
    <t>CAR-13;CAR-15</t>
  </si>
  <si>
    <t>Remaining source migration</t>
  </si>
  <si>
    <t>Broader operational signal coverage</t>
  </si>
  <si>
    <t>CAR-17</t>
  </si>
  <si>
    <t>Activate AI Insights and Operations Copilot for trend explanation and next-best-action prompts</t>
  </si>
  <si>
    <t>CareOps360 AI Lead</t>
  </si>
  <si>
    <t>CAR-14;CAR-16</t>
  </si>
  <si>
    <t>AI Insights / Copilot</t>
  </si>
  <si>
    <t>AI narratives and recommendations visible</t>
  </si>
  <si>
    <t>CAR-18</t>
  </si>
  <si>
    <t>Implement write-back workflows to ServiceNow/Jira with guardrails and auditability</t>
  </si>
  <si>
    <t>Horizon ITSM / Jira Owners</t>
  </si>
  <si>
    <t>Write-back workflows</t>
  </si>
  <si>
    <t>Actions are traceable and controlled</t>
  </si>
  <si>
    <t>CAR-19</t>
  </si>
  <si>
    <t>Harden for scale with HA/DR, CI/CD maturity, resiliency testing and support runbooks</t>
  </si>
  <si>
    <t>Scale hardening</t>
  </si>
  <si>
    <t>HA/DR and CI/CD maturity validated</t>
  </si>
  <si>
    <t>CAR-20</t>
  </si>
  <si>
    <t>Complete 180-day CareOps360 value review and next capability roadmap</t>
  </si>
  <si>
    <t>CAR-17;CAR-19</t>
  </si>
  <si>
    <t>CareOps360 180-day roadmap</t>
  </si>
  <si>
    <t>Adoption, value and next-wave capabilities approved</t>
  </si>
  <si>
    <t>AGI-01</t>
  </si>
  <si>
    <t>Confirm agile/product transformation scope, leadership alignment and pilot selection criteria</t>
  </si>
  <si>
    <t>IBM Product Transformation Lead</t>
  </si>
  <si>
    <t>Agile/product transformation charter</t>
  </si>
  <si>
    <t>Pilot selection criteria agreed</t>
  </si>
  <si>
    <t>AGI-02</t>
  </si>
  <si>
    <t>Assess current work intake, prioritization, funding, release and governance practices</t>
  </si>
  <si>
    <t>IBM Agile Coach</t>
  </si>
  <si>
    <t>Horizon PMO / Portfolio</t>
  </si>
  <si>
    <t>Current-state assessment</t>
  </si>
  <si>
    <t>Pain points and change impacts documented</t>
  </si>
  <si>
    <t>AGI-03</t>
  </si>
  <si>
    <t>Define product/value-stream taxonomy and map applications to candidate product domains</t>
  </si>
  <si>
    <t>Domain/product map</t>
  </si>
  <si>
    <t>Product domains and ownership draft</t>
  </si>
  <si>
    <t>AGI-04</t>
  </si>
  <si>
    <t>Identify first-wave agile enhancement projects and pilot product stream</t>
  </si>
  <si>
    <t>AGI-02;AGI-03</t>
  </si>
  <si>
    <t>Pilot product stream selection</t>
  </si>
  <si>
    <t>Pilot selected and leadership approved</t>
  </si>
  <si>
    <t>AGI-05</t>
  </si>
  <si>
    <t>Define product roles, RACI, POD composition, scrum ceremonies and decision rights</t>
  </si>
  <si>
    <t>POD operating model</t>
  </si>
  <si>
    <t>Roles and decision rights clear</t>
  </si>
  <si>
    <t>AGI-06</t>
  </si>
  <si>
    <t>Create pilot backlog foundation with epics, features, stories, acceptance criteria and KPIs</t>
  </si>
  <si>
    <t>IBM Product Owner Coach</t>
  </si>
  <si>
    <t>Horizon Product Owner</t>
  </si>
  <si>
    <t>AGI-04;AGI-05</t>
  </si>
  <si>
    <t>Pilot backlog</t>
  </si>
  <si>
    <t>Backlog ready for sprint planning</t>
  </si>
  <si>
    <t>AGI-07</t>
  </si>
  <si>
    <t>Train pilot PODs on agile ways of working, product mindset and outcome-based metrics</t>
  </si>
  <si>
    <t>Horizon POD Members</t>
  </si>
  <si>
    <t>AGI-05;AGI-06</t>
  </si>
  <si>
    <t>Training completion</t>
  </si>
  <si>
    <t>Pilot team trained and ready</t>
  </si>
  <si>
    <t>AGI-08</t>
  </si>
  <si>
    <t>Launch sprint 0 for pilot POD including tooling, definition of ready/done and release plan</t>
  </si>
  <si>
    <t>IBM Scrum Master</t>
  </si>
  <si>
    <t>AGI-06;AGI-07</t>
  </si>
  <si>
    <t>Sprint 0 readiness</t>
  </si>
  <si>
    <t>Team ready for sprint execution</t>
  </si>
  <si>
    <t>AGI-09</t>
  </si>
  <si>
    <t>Execute pilot sprint 1-2 with coaching, demos, retrospectives and dependency management</t>
  </si>
  <si>
    <t>Pilot sprint outcomes</t>
  </si>
  <si>
    <t>Velocity, impediments and demo feedback captured</t>
  </si>
  <si>
    <t>AGI-10</t>
  </si>
  <si>
    <t>Establish product metrics dashboard: velocity, predictability, backlog health, value and quality</t>
  </si>
  <si>
    <t>AGI-08;AGI-09</t>
  </si>
  <si>
    <t>Product metrics dashboard</t>
  </si>
  <si>
    <t>Metrics visible for pilot POD</t>
  </si>
  <si>
    <t>AGI-11</t>
  </si>
  <si>
    <t>Standardize intake and prioritization workflow across pilot products and AMS requests</t>
  </si>
  <si>
    <t>AGI-09;AGI-10</t>
  </si>
  <si>
    <t>Standard intake workflow</t>
  </si>
  <si>
    <t>Demand routed and prioritized by value</t>
  </si>
  <si>
    <t>AGI-12</t>
  </si>
  <si>
    <t>Scale agile ceremonies and product backlog model to next-wave PODs</t>
  </si>
  <si>
    <t>AGI-09;AGI-11</t>
  </si>
  <si>
    <t>Next-wave POD setup</t>
  </si>
  <si>
    <t>Additional PODs operating with common cadence</t>
  </si>
  <si>
    <t>AGI-13</t>
  </si>
  <si>
    <t>Integrate DevSecOps 2.0 practices and quality gates into pilot / cloud app PODs</t>
  </si>
  <si>
    <t>AGI-08;AGI-12</t>
  </si>
  <si>
    <t>DevSecOps adoption plan</t>
  </si>
  <si>
    <t>Pipeline gates and security checks embedded</t>
  </si>
  <si>
    <t>AGI-14</t>
  </si>
  <si>
    <t>Conduct 90-day product model health review and refine operating model</t>
  </si>
  <si>
    <t>AGI-10;AGI-12;AGI-13</t>
  </si>
  <si>
    <t>90-day health review</t>
  </si>
  <si>
    <t>Model refinements approved</t>
  </si>
  <si>
    <t>AGI-15</t>
  </si>
  <si>
    <t>Expand product/value-stream governance into monthly portfolio and quarterly value reviews</t>
  </si>
  <si>
    <t>Product governance cadence</t>
  </si>
  <si>
    <t>Roadmap, value and capacity reviews live</t>
  </si>
  <si>
    <t>AGI-16</t>
  </si>
  <si>
    <t>Build product roadmaps for priority domains covering BAU, tech debt and transformation items</t>
  </si>
  <si>
    <t>IBM Product Owners / Coaches</t>
  </si>
  <si>
    <t>AGI-11;AGI-15</t>
  </si>
  <si>
    <t>Product roadmaps</t>
  </si>
  <si>
    <t>Domain roadmaps aligned to business outcomes</t>
  </si>
  <si>
    <t>AGI-17</t>
  </si>
  <si>
    <t>Embed innovation sprint cadence and market/payer trend backlog intake</t>
  </si>
  <si>
    <t>AGI-15;AGI-16</t>
  </si>
  <si>
    <t>Innovation sprint model</t>
  </si>
  <si>
    <t>Quarterly innovation intake live</t>
  </si>
  <si>
    <t>AGI-18</t>
  </si>
  <si>
    <t>Optimize POD capacity model, talent rotation and skill evolution for AI/cloud/data needs</t>
  </si>
  <si>
    <t>Horizon Resource Owners</t>
  </si>
  <si>
    <t>AGI-12;AGI-16</t>
  </si>
  <si>
    <t>Capacity and skill roadmap</t>
  </si>
  <si>
    <t>Talent rotation plan tied to roadmap</t>
  </si>
  <si>
    <t>AGI-19</t>
  </si>
  <si>
    <t>Complete 180-day agile/product maturity assessment and scale roadmap</t>
  </si>
  <si>
    <t>AGI-16;AGI-18</t>
  </si>
  <si>
    <t>Agile/product scale roadmap</t>
  </si>
  <si>
    <t>Maturity delta and scale roadmap approved</t>
  </si>
  <si>
    <t>Type</t>
  </si>
  <si>
    <t>Description</t>
  </si>
  <si>
    <t>Impacted Workstream</t>
  </si>
  <si>
    <t>Owner</t>
  </si>
  <si>
    <t>Dependency / Trigger</t>
  </si>
  <si>
    <t>Target Resolution</t>
  </si>
  <si>
    <t>Mitigation / Next Step</t>
  </si>
  <si>
    <t>Dependency</t>
  </si>
  <si>
    <t>D-01</t>
  </si>
  <si>
    <t>ARB/security approval required for AIOps and CareOps360 environments</t>
  </si>
  <si>
    <t>AIOps / CareOps360</t>
  </si>
  <si>
    <t>Architecture packages and security review</t>
  </si>
  <si>
    <t>2026-07-15</t>
  </si>
  <si>
    <t>Open</t>
  </si>
  <si>
    <t>Package MVP and target-state approvals separately to accelerate foundation</t>
  </si>
  <si>
    <t>D-02</t>
  </si>
  <si>
    <t>Source-system owners must provide access and data contracts for CareOps360 feeds</t>
  </si>
  <si>
    <t>ServiceNow, APM, Databricks, contact center, provider data</t>
  </si>
  <si>
    <t>2026-08-31</t>
  </si>
  <si>
    <t>Create source readiness tracker with owners and escalation path</t>
  </si>
  <si>
    <t>D-03</t>
  </si>
  <si>
    <t>Historical ITSM ticket quality and taxonomy affects AIOps model accuracy</t>
  </si>
  <si>
    <t>AIOps</t>
  </si>
  <si>
    <t>IBM AIOps Data Lead / Horizon ITSM</t>
  </si>
  <si>
    <t>Historical incidents, categories, assignment groups, resolutions</t>
  </si>
  <si>
    <t>2026-07-31</t>
  </si>
  <si>
    <t>Cleanse taxonomy and curate knowledge corpus during first 60 days</t>
  </si>
  <si>
    <t>Risk</t>
  </si>
  <si>
    <t>R-01</t>
  </si>
  <si>
    <t>QE automation scale may be limited by test data availability or external dependency instability</t>
  </si>
  <si>
    <t>IBM QE Lead / Horizon Data Owner</t>
  </si>
  <si>
    <t>TDM, masking, synthetic data, service virtualization</t>
  </si>
  <si>
    <t>2026-09-15</t>
  </si>
  <si>
    <t>Prioritize critical flows; stand up TDM intake and virtualize high-pain dependencies</t>
  </si>
  <si>
    <t>R-02</t>
  </si>
  <si>
    <t>Product model adoption may stall without dedicated Horizon product owners and SMEs</t>
  </si>
  <si>
    <t>Product owner / SME commitment</t>
  </si>
  <si>
    <t>2026-07-30</t>
  </si>
  <si>
    <t>Agree minimum capacity commitment and cadence in governance</t>
  </si>
  <si>
    <t>Assumption</t>
  </si>
  <si>
    <t>A-01</t>
  </si>
  <si>
    <t>Initial 180-day plan begins July 1, 2026 and covers calendar days through late December 2026</t>
  </si>
  <si>
    <t>All</t>
  </si>
  <si>
    <t>Start-date confirmation</t>
  </si>
  <si>
    <t>2026-07-01</t>
  </si>
  <si>
    <t>Adjust dates if contract transition start changes</t>
  </si>
  <si>
    <t>Issue</t>
  </si>
  <si>
    <t>I-01</t>
  </si>
  <si>
    <t>Tooling integration priorities may change based on ClearQuest-to-ServiceNow migration timing</t>
  </si>
  <si>
    <t>AIOps / Overall Transition</t>
  </si>
  <si>
    <t>ITSM migration roadmap</t>
  </si>
  <si>
    <t>2026-08-15</t>
  </si>
  <si>
    <t>Design interfaces to support interim and target ITSM paths</t>
  </si>
  <si>
    <t>Decision</t>
  </si>
  <si>
    <t>DEC-01</t>
  </si>
  <si>
    <t>Confirm first product pilot and first 5 AWS applications for AIOps onboarding</t>
  </si>
  <si>
    <t>AIOps / Agile Product Model</t>
  </si>
  <si>
    <t>Pilot selection workshop</t>
  </si>
  <si>
    <t>2026-07-10</t>
  </si>
  <si>
    <t>Decision needed to protect 0-30 day foundation timeline</t>
  </si>
  <si>
    <t>Area</t>
  </si>
  <si>
    <t>Accountable IBM Owner</t>
  </si>
  <si>
    <t>Primary Horizon Owner</t>
  </si>
  <si>
    <t>Key Responsibilities</t>
  </si>
  <si>
    <t>Primary Cadence</t>
  </si>
  <si>
    <t>Key Decisions / Escalations</t>
  </si>
  <si>
    <t>IBM Transformation Lead / Delivery Lead</t>
  </si>
  <si>
    <t>Horizon Executive Sponsor / PMO</t>
  </si>
  <si>
    <t>Own 180-day transition execution, governance, risks, service continuity and transition acceptance</t>
  </si>
  <si>
    <t>Daily standup, weekly ops, monthly exec</t>
  </si>
  <si>
    <t>Scope, resource blockers, SLA impact, acceptance</t>
  </si>
  <si>
    <t>IBM QE Lead / QE Architect</t>
  </si>
  <si>
    <t>Horizon QA Lead / Business SMEs</t>
  </si>
  <si>
    <t>Define QE strategy, automation roadmap, TDM, service virtualization, defect analytics and release readiness</t>
  </si>
  <si>
    <t>Weekly QE working session, monthly quality review</t>
  </si>
  <si>
    <t>Automation scope, critical flows, quality gates, UAT support model</t>
  </si>
  <si>
    <t>IBM AIOps Program Manager / AIOps Architect</t>
  </si>
  <si>
    <t>Horizon ARB, ITSM and Operations Leads</t>
  </si>
  <si>
    <t>Deploy AIOps foundation, integrate ITSM/monitoring, train models, scale recommendations and auto-remediation</t>
  </si>
  <si>
    <t>Weekly AIOps delivery, monthly operations review</t>
  </si>
  <si>
    <t>ARB/security approvals, tool integrations, guardrails, automation candidates</t>
  </si>
  <si>
    <t>CareOps360 Product Owner / Architect</t>
  </si>
  <si>
    <t>Horizon Transformation Sponsor / Data Owners</t>
  </si>
  <si>
    <t>Enable executive command-center dashboards, data integrations, AI insights, write-back workflows and adoption</t>
  </si>
  <si>
    <t>Weekly product review, monthly dashboard playback</t>
  </si>
  <si>
    <t>Data access, ARB approvals, persona priorities, write-back controls</t>
  </si>
  <si>
    <t>IBM Product Transformation Lead / Agile Coach</t>
  </si>
  <si>
    <t>Horizon Product Owners / PMO</t>
  </si>
  <si>
    <t>Shift to product/value-stream PODs, agile ceremonies, intake, metrics, roadmaps and innovation cadence</t>
  </si>
  <si>
    <t>Sprint ceremonies, monthly portfolio review</t>
  </si>
  <si>
    <t>Pilot selection, domain model, capacity, product KPIs</t>
  </si>
  <si>
    <t>Owners / Stakeholders</t>
  </si>
  <si>
    <t>Blocked</t>
  </si>
  <si>
    <t>At Risk</t>
  </si>
  <si>
    <t>Critical</t>
  </si>
  <si>
    <t>Medium</t>
  </si>
  <si>
    <t>Low</t>
  </si>
  <si>
    <t>Green</t>
  </si>
  <si>
    <t>Amber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</si>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</sst>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5">
    <font>
      <sz val="11"/>
      <name val="Carlito"/>
    </font>
    <font>
      <b/>
      <sz val="16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b/>
      <sz val="12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NumberFormat="1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center"/>
    </xf>
    <xf numFmtId="9" fontId="4" fillId="5" borderId="1" xfId="0" applyNumberFormat="1" applyFont="1" applyFill="1" applyBorder="1" applyAlignment="1">
      <alignment horizontal="center"/>
    </xf>
    <xf numFmtId="9" fontId="0" fillId="0" borderId="1" xfId="0" applyNumberFormat="1" applyFont="1" applyFill="1" applyBorder="1"/>
    <xf numFmtId="17" fontId="0" fillId="0" borderId="1" xfId="0" applyNumberFormat="1" applyFont="1" applyFill="1" applyBorder="1"/>
    <xf numFmtId="0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vertical="top"/>
    </xf>
    <xf numFmtId="0" fontId="1" fillId="2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wrapText="1"/>
    </xf>
  </cellXfs>
  <cellStyles count="1">
    <cellStyle name="Normal" xfId="0" builtinId="0"/>
  </cellStyles>
  <dxfs count="24"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Avg % Complete</c:v>
          </c:tx>
          <c:invertIfNegative val="1"/>
          <c:cat>
            <c:strRef>
              <c:f>Dashboard!$A$12:$A$16</c:f>
              <c:strCache>
                <c:ptCount val="5"/>
                <c:pt idx="0">
                  <c:v>Overall Transition</c:v>
                </c:pt>
                <c:pt idx="1">
                  <c:v>Quality Engineering</c:v>
                </c:pt>
                <c:pt idx="2">
                  <c:v>AIOps Implementation</c:v>
                </c:pt>
                <c:pt idx="3">
                  <c:v>CareOps360</c:v>
                </c:pt>
                <c:pt idx="4">
                  <c:v>Agile Product Model</c:v>
                </c:pt>
              </c:strCache>
            </c:strRef>
          </c:cat>
          <c:val>
            <c:numRef>
              <c:f>Dashboard!$F$12:$F$16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F-4F1D-8451-559EEFC91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Tasks</c:v>
          </c:tx>
          <c:invertIfNegative val="1"/>
          <c:cat>
            <c:strRef>
              <c:f>Dashboard!$H$12:$H$15</c:f>
              <c:strCache>
                <c:ptCount val="4"/>
                <c:pt idx="0">
                  <c:v>0-30 Foundation</c:v>
                </c:pt>
                <c:pt idx="1">
                  <c:v>31-60 Production Ready</c:v>
                </c:pt>
                <c:pt idx="2">
                  <c:v>61-90 Standardize &amp; Integrate</c:v>
                </c:pt>
                <c:pt idx="3">
                  <c:v>91-180 Scale &amp; Optimize</c:v>
                </c:pt>
              </c:strCache>
            </c:strRef>
          </c:cat>
          <c:val>
            <c:numRef>
              <c:f>Dashboard!$I$12:$I$15</c:f>
              <c:numCache>
                <c:formatCode>General</c:formatCode>
                <c:ptCount val="4"/>
                <c:pt idx="0">
                  <c:v>36</c:v>
                </c:pt>
                <c:pt idx="1">
                  <c:v>19</c:v>
                </c:pt>
                <c:pt idx="2">
                  <c:v>19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3-4E70-8015-1D195EE91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Cumulative Tasks Ending</c:v>
          </c:tx>
          <c:cat>
            <c:numRef>
              <c:f>Dashboard!$A$21:$A$26</c:f>
              <c:numCache>
                <c:formatCode>mmm\-yy</c:formatCode>
                <c:ptCount val="6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  <c:pt idx="3">
                  <c:v>46296</c:v>
                </c:pt>
                <c:pt idx="4">
                  <c:v>46327</c:v>
                </c:pt>
                <c:pt idx="5">
                  <c:v>46357</c:v>
                </c:pt>
              </c:numCache>
            </c:numRef>
          </c:cat>
          <c:val>
            <c:numRef>
              <c:f>Dashboard!$D$21:$D$26</c:f>
              <c:numCache>
                <c:formatCode>General</c:formatCode>
                <c:ptCount val="6"/>
                <c:pt idx="0">
                  <c:v>31</c:v>
                </c:pt>
                <c:pt idx="1">
                  <c:v>53</c:v>
                </c:pt>
                <c:pt idx="2">
                  <c:v>71</c:v>
                </c:pt>
                <c:pt idx="3">
                  <c:v>79</c:v>
                </c:pt>
                <c:pt idx="4">
                  <c:v>87</c:v>
                </c:pt>
                <c:pt idx="5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7B-400A-ACBE-7B3904E29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\-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6</xdr:col>
      <xdr:colOff>0</xdr:colOff>
      <xdr:row>44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14</xdr:col>
      <xdr:colOff>0</xdr:colOff>
      <xdr:row>62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Plan" displayName="MasterPlan" ref="A1:Q100">
  <tableColumns count="17">
    <tableColumn id="1" xr3:uid="{00000000-0010-0000-0000-000001000000}" name="ID"/>
    <tableColumn id="2" xr3:uid="{00000000-0010-0000-0000-000002000000}" name="Workstream"/>
    <tableColumn id="3" xr3:uid="{00000000-0010-0000-0000-000003000000}" name="Phase"/>
    <tableColumn id="4" xr3:uid="{00000000-0010-0000-0000-000004000000}" name="Task / Activity"/>
    <tableColumn id="5" xr3:uid="{00000000-0010-0000-0000-000005000000}" name="IBM Owner"/>
    <tableColumn id="6" xr3:uid="{00000000-0010-0000-0000-000006000000}" name="Horizon Owner"/>
    <tableColumn id="7" xr3:uid="{00000000-0010-0000-0000-000007000000}" name="Start Date"/>
    <tableColumn id="8" xr3:uid="{00000000-0010-0000-0000-000008000000}" name="End Date"/>
    <tableColumn id="9" xr3:uid="{00000000-0010-0000-0000-000009000000}" name="Duration Days"/>
    <tableColumn id="10" xr3:uid="{00000000-0010-0000-0000-00000A000000}" name="Dependencies"/>
    <tableColumn id="11" xr3:uid="{00000000-0010-0000-0000-00000B000000}" name="Deliverable / Milestone"/>
    <tableColumn id="12" xr3:uid="{00000000-0010-0000-0000-00000C000000}" name="Success Metric"/>
    <tableColumn id="13" xr3:uid="{00000000-0010-0000-0000-00000D000000}" name="Status"/>
    <tableColumn id="14" xr3:uid="{00000000-0010-0000-0000-00000E000000}" name="Priority"/>
    <tableColumn id="15" xr3:uid="{00000000-0010-0000-0000-00000F000000}" name="% Complete"/>
    <tableColumn id="16" xr3:uid="{00000000-0010-0000-0000-000010000000}" name="RAG"/>
    <tableColumn id="17" xr3:uid="{00000000-0010-0000-0000-000011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verallTransitionTable" displayName="OverallTransitionTable" ref="A1:Q20">
  <tableColumns count="17">
    <tableColumn id="1" xr3:uid="{00000000-0010-0000-0100-000001000000}" name="ID"/>
    <tableColumn id="2" xr3:uid="{00000000-0010-0000-0100-000002000000}" name="Workstream"/>
    <tableColumn id="3" xr3:uid="{00000000-0010-0000-0100-000003000000}" name="Phase"/>
    <tableColumn id="4" xr3:uid="{00000000-0010-0000-0100-000004000000}" name="Task / Activity"/>
    <tableColumn id="5" xr3:uid="{00000000-0010-0000-0100-000005000000}" name="IBM Owner"/>
    <tableColumn id="6" xr3:uid="{00000000-0010-0000-0100-000006000000}" name="Horizon Owner"/>
    <tableColumn id="7" xr3:uid="{00000000-0010-0000-0100-000007000000}" name="Start Date"/>
    <tableColumn id="8" xr3:uid="{00000000-0010-0000-0100-000008000000}" name="End Date"/>
    <tableColumn id="9" xr3:uid="{00000000-0010-0000-0100-000009000000}" name="Duration Days"/>
    <tableColumn id="10" xr3:uid="{00000000-0010-0000-0100-00000A000000}" name="Dependencies"/>
    <tableColumn id="11" xr3:uid="{00000000-0010-0000-0100-00000B000000}" name="Deliverable / Milestone"/>
    <tableColumn id="12" xr3:uid="{00000000-0010-0000-0100-00000C000000}" name="Success Metric"/>
    <tableColumn id="13" xr3:uid="{00000000-0010-0000-0100-00000D000000}" name="Status"/>
    <tableColumn id="14" xr3:uid="{00000000-0010-0000-0100-00000E000000}" name="Priority"/>
    <tableColumn id="15" xr3:uid="{00000000-0010-0000-0100-00000F000000}" name="% Complete"/>
    <tableColumn id="16" xr3:uid="{00000000-0010-0000-0100-000010000000}" name="RAG"/>
    <tableColumn id="17" xr3:uid="{00000000-0010-0000-0100-000011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alityEngineeringTable" displayName="QualityEngineeringTable" ref="A1:Q22">
  <tableColumns count="17">
    <tableColumn id="1" xr3:uid="{00000000-0010-0000-0200-000001000000}" name="ID"/>
    <tableColumn id="2" xr3:uid="{00000000-0010-0000-0200-000002000000}" name="Workstream"/>
    <tableColumn id="3" xr3:uid="{00000000-0010-0000-0200-000003000000}" name="Phase"/>
    <tableColumn id="4" xr3:uid="{00000000-0010-0000-0200-000004000000}" name="Task / Activity"/>
    <tableColumn id="5" xr3:uid="{00000000-0010-0000-0200-000005000000}" name="IBM Owner"/>
    <tableColumn id="6" xr3:uid="{00000000-0010-0000-0200-000006000000}" name="Horizon Owner"/>
    <tableColumn id="7" xr3:uid="{00000000-0010-0000-0200-000007000000}" name="Start Date"/>
    <tableColumn id="8" xr3:uid="{00000000-0010-0000-0200-000008000000}" name="End Date"/>
    <tableColumn id="9" xr3:uid="{00000000-0010-0000-0200-000009000000}" name="Duration Days"/>
    <tableColumn id="10" xr3:uid="{00000000-0010-0000-0200-00000A000000}" name="Dependencies"/>
    <tableColumn id="11" xr3:uid="{00000000-0010-0000-0200-00000B000000}" name="Deliverable / Milestone"/>
    <tableColumn id="12" xr3:uid="{00000000-0010-0000-0200-00000C000000}" name="Success Metric"/>
    <tableColumn id="13" xr3:uid="{00000000-0010-0000-0200-00000D000000}" name="Status"/>
    <tableColumn id="14" xr3:uid="{00000000-0010-0000-0200-00000E000000}" name="Priority"/>
    <tableColumn id="15" xr3:uid="{00000000-0010-0000-0200-00000F000000}" name="% Complete"/>
    <tableColumn id="16" xr3:uid="{00000000-0010-0000-0200-000010000000}" name="RAG"/>
    <tableColumn id="17" xr3:uid="{00000000-0010-0000-0200-000011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IOpsImplementationTable" displayName="AIOpsImplementationTable" ref="A1:Q21">
  <tableColumns count="17">
    <tableColumn id="1" xr3:uid="{00000000-0010-0000-0300-000001000000}" name="ID"/>
    <tableColumn id="2" xr3:uid="{00000000-0010-0000-0300-000002000000}" name="Workstream"/>
    <tableColumn id="3" xr3:uid="{00000000-0010-0000-0300-000003000000}" name="Phase"/>
    <tableColumn id="4" xr3:uid="{00000000-0010-0000-0300-000004000000}" name="Task / Activity"/>
    <tableColumn id="5" xr3:uid="{00000000-0010-0000-0300-000005000000}" name="IBM Owner"/>
    <tableColumn id="6" xr3:uid="{00000000-0010-0000-0300-000006000000}" name="Horizon Owner"/>
    <tableColumn id="7" xr3:uid="{00000000-0010-0000-0300-000007000000}" name="Start Date"/>
    <tableColumn id="8" xr3:uid="{00000000-0010-0000-0300-000008000000}" name="End Date"/>
    <tableColumn id="9" xr3:uid="{00000000-0010-0000-0300-000009000000}" name="Duration Days"/>
    <tableColumn id="10" xr3:uid="{00000000-0010-0000-0300-00000A000000}" name="Dependencies"/>
    <tableColumn id="11" xr3:uid="{00000000-0010-0000-0300-00000B000000}" name="Deliverable / Milestone"/>
    <tableColumn id="12" xr3:uid="{00000000-0010-0000-0300-00000C000000}" name="Success Metric"/>
    <tableColumn id="13" xr3:uid="{00000000-0010-0000-0300-00000D000000}" name="Status"/>
    <tableColumn id="14" xr3:uid="{00000000-0010-0000-0300-00000E000000}" name="Priority"/>
    <tableColumn id="15" xr3:uid="{00000000-0010-0000-0300-00000F000000}" name="% Complete"/>
    <tableColumn id="16" xr3:uid="{00000000-0010-0000-0300-000010000000}" name="RAG"/>
    <tableColumn id="17" xr3:uid="{00000000-0010-0000-0300-000011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reOps360Table" displayName="CareOps360Table" ref="A1:Q21">
  <tableColumns count="17">
    <tableColumn id="1" xr3:uid="{00000000-0010-0000-0400-000001000000}" name="ID"/>
    <tableColumn id="2" xr3:uid="{00000000-0010-0000-0400-000002000000}" name="Workstream"/>
    <tableColumn id="3" xr3:uid="{00000000-0010-0000-0400-000003000000}" name="Phase"/>
    <tableColumn id="4" xr3:uid="{00000000-0010-0000-0400-000004000000}" name="Task / Activity"/>
    <tableColumn id="5" xr3:uid="{00000000-0010-0000-0400-000005000000}" name="IBM Owner"/>
    <tableColumn id="6" xr3:uid="{00000000-0010-0000-0400-000006000000}" name="Horizon Owner"/>
    <tableColumn id="7" xr3:uid="{00000000-0010-0000-0400-000007000000}" name="Start Date"/>
    <tableColumn id="8" xr3:uid="{00000000-0010-0000-0400-000008000000}" name="End Date"/>
    <tableColumn id="9" xr3:uid="{00000000-0010-0000-0400-000009000000}" name="Duration Days"/>
    <tableColumn id="10" xr3:uid="{00000000-0010-0000-0400-00000A000000}" name="Dependencies"/>
    <tableColumn id="11" xr3:uid="{00000000-0010-0000-0400-00000B000000}" name="Deliverable / Milestone"/>
    <tableColumn id="12" xr3:uid="{00000000-0010-0000-0400-00000C000000}" name="Success Metric"/>
    <tableColumn id="13" xr3:uid="{00000000-0010-0000-0400-00000D000000}" name="Status"/>
    <tableColumn id="14" xr3:uid="{00000000-0010-0000-0400-00000E000000}" name="Priority"/>
    <tableColumn id="15" xr3:uid="{00000000-0010-0000-0400-00000F000000}" name="% Complete"/>
    <tableColumn id="16" xr3:uid="{00000000-0010-0000-0400-000010000000}" name="RAG"/>
    <tableColumn id="17" xr3:uid="{00000000-0010-0000-0400-000011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gileProductModelTable" displayName="AgileProductModelTable" ref="A1:Q20">
  <tableColumns count="17">
    <tableColumn id="1" xr3:uid="{00000000-0010-0000-0500-000001000000}" name="ID"/>
    <tableColumn id="2" xr3:uid="{00000000-0010-0000-0500-000002000000}" name="Workstream"/>
    <tableColumn id="3" xr3:uid="{00000000-0010-0000-0500-000003000000}" name="Phase"/>
    <tableColumn id="4" xr3:uid="{00000000-0010-0000-0500-000004000000}" name="Task / Activity"/>
    <tableColumn id="5" xr3:uid="{00000000-0010-0000-0500-000005000000}" name="IBM Owner"/>
    <tableColumn id="6" xr3:uid="{00000000-0010-0000-0500-000006000000}" name="Horizon Owner"/>
    <tableColumn id="7" xr3:uid="{00000000-0010-0000-0500-000007000000}" name="Start Date"/>
    <tableColumn id="8" xr3:uid="{00000000-0010-0000-0500-000008000000}" name="End Date"/>
    <tableColumn id="9" xr3:uid="{00000000-0010-0000-0500-000009000000}" name="Duration Days"/>
    <tableColumn id="10" xr3:uid="{00000000-0010-0000-0500-00000A000000}" name="Dependencies"/>
    <tableColumn id="11" xr3:uid="{00000000-0010-0000-0500-00000B000000}" name="Deliverable / Milestone"/>
    <tableColumn id="12" xr3:uid="{00000000-0010-0000-0500-00000C000000}" name="Success Metric"/>
    <tableColumn id="13" xr3:uid="{00000000-0010-0000-0500-00000D000000}" name="Status"/>
    <tableColumn id="14" xr3:uid="{00000000-0010-0000-0500-00000E000000}" name="Priority"/>
    <tableColumn id="15" xr3:uid="{00000000-0010-0000-0500-00000F000000}" name="% Complete"/>
    <tableColumn id="16" xr3:uid="{00000000-0010-0000-0500-000010000000}" name="RAG"/>
    <tableColumn id="17" xr3:uid="{00000000-0010-0000-0500-000011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RAIDLog" displayName="RAIDLog" ref="A1:I9">
  <tableColumns count="9">
    <tableColumn id="1" xr3:uid="{00000000-0010-0000-0600-000001000000}" name="Type"/>
    <tableColumn id="2" xr3:uid="{00000000-0010-0000-0600-000002000000}" name="ID"/>
    <tableColumn id="3" xr3:uid="{00000000-0010-0000-0600-000003000000}" name="Description"/>
    <tableColumn id="4" xr3:uid="{00000000-0010-0000-0600-000004000000}" name="Impacted Workstream"/>
    <tableColumn id="5" xr3:uid="{00000000-0010-0000-0600-000005000000}" name="Owner"/>
    <tableColumn id="6" xr3:uid="{00000000-0010-0000-0600-000006000000}" name="Dependency / Trigger"/>
    <tableColumn id="7" xr3:uid="{00000000-0010-0000-0600-000007000000}" name="Target Resolution"/>
    <tableColumn id="8" xr3:uid="{00000000-0010-0000-0600-000008000000}" name="Status"/>
    <tableColumn id="9" xr3:uid="{00000000-0010-0000-0600-000009000000}" name="Mitigation / Next Step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RACIOwners" displayName="RACIOwners" ref="A1:F6">
  <tableColumns count="6">
    <tableColumn id="1" xr3:uid="{00000000-0010-0000-0700-000001000000}" name="Area"/>
    <tableColumn id="2" xr3:uid="{00000000-0010-0000-0700-000002000000}" name="Accountable IBM Owner"/>
    <tableColumn id="3" xr3:uid="{00000000-0010-0000-0700-000003000000}" name="Primary Horizon Owner"/>
    <tableColumn id="4" xr3:uid="{00000000-0010-0000-0700-000004000000}" name="Key Responsibilities"/>
    <tableColumn id="5" xr3:uid="{00000000-0010-0000-0700-000005000000}" name="Primary Cadence"/>
    <tableColumn id="6" xr3:uid="{00000000-0010-0000-0700-000006000000}" name="Key Decisions / Escal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opLeftCell="A5" zoomScaleNormal="100" zoomScaleSheetLayoutView="100" workbookViewId="0"/>
  </sheetViews>
  <sheetFormatPr defaultRowHeight="15"/>
  <cols>
    <col min="1" max="1" width="28" customWidth="1"/>
    <col min="2" max="6" width="15" customWidth="1"/>
    <col min="8" max="8" width="28" customWidth="1"/>
    <col min="9" max="14" width="10" customWidth="1"/>
  </cols>
  <sheetData>
    <row r="1" spans="1:10" ht="30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30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4" spans="1:10">
      <c r="A4" s="1" t="s">
        <v>2</v>
      </c>
      <c r="B4" s="2">
        <f>COUNTA('180D Master Plan'!A2:A100)</f>
        <v>99</v>
      </c>
    </row>
    <row r="5" spans="1:10">
      <c r="A5" s="1" t="s">
        <v>3</v>
      </c>
      <c r="B5" s="2">
        <f>COUNTIF('180D Master Plan'!M2:M100,"Completed")</f>
        <v>0</v>
      </c>
    </row>
    <row r="6" spans="1:10">
      <c r="A6" s="1" t="s">
        <v>4</v>
      </c>
      <c r="B6" s="2">
        <f>COUNTIF('180D Master Plan'!M2:M100,"At Risk")+COUNTIF('180D Master Plan'!M2:M100,"Blocked")</f>
        <v>0</v>
      </c>
    </row>
    <row r="7" spans="1:10">
      <c r="A7" s="1" t="s">
        <v>5</v>
      </c>
      <c r="B7" s="3">
        <f>AVERAGE('180D Master Plan'!O2:O100)</f>
        <v>0</v>
      </c>
    </row>
    <row r="8" spans="1:10">
      <c r="A8" s="1" t="s">
        <v>6</v>
      </c>
      <c r="B8" s="2">
        <f>COUNTIF('180D Master Plan'!N2:N100,"Critical")+COUNTIF('180D Master Plan'!N2:N100,"High")</f>
        <v>99</v>
      </c>
    </row>
    <row r="11" spans="1:10">
      <c r="A11" s="1" t="s">
        <v>7</v>
      </c>
      <c r="B11" s="1" t="s">
        <v>8</v>
      </c>
      <c r="C11" s="1" t="s">
        <v>3</v>
      </c>
      <c r="D11" s="1" t="s">
        <v>9</v>
      </c>
      <c r="E11" s="1" t="s">
        <v>10</v>
      </c>
      <c r="F11" s="1" t="s">
        <v>5</v>
      </c>
      <c r="H11" s="1" t="s">
        <v>11</v>
      </c>
      <c r="I11" s="1" t="s">
        <v>8</v>
      </c>
      <c r="J11" s="1" t="s">
        <v>3</v>
      </c>
    </row>
    <row r="12" spans="1:10">
      <c r="A12" t="s">
        <v>12</v>
      </c>
      <c r="B12">
        <f>COUNTIF('180D Master Plan'!B:B,A12)</f>
        <v>19</v>
      </c>
      <c r="C12">
        <f>COUNTIFS('180D Master Plan'!B:B,A12,'180D Master Plan'!M:M,"Completed")</f>
        <v>0</v>
      </c>
      <c r="D12">
        <f>COUNTIFS('180D Master Plan'!B:B,A12,'180D Master Plan'!M:M,"In Progress")</f>
        <v>0</v>
      </c>
      <c r="E12">
        <f>COUNTIFS('180D Master Plan'!B:B,A12,'180D Master Plan'!M:M,"At Risk")+COUNTIFS('180D Master Plan'!B:B,A12,'180D Master Plan'!M:M,"Blocked")</f>
        <v>0</v>
      </c>
      <c r="F12" s="4">
        <f>SUMIF('180D Master Plan'!B:B,A12,'180D Master Plan'!O:O)/B12</f>
        <v>0</v>
      </c>
      <c r="H12" t="s">
        <v>13</v>
      </c>
      <c r="I12">
        <f>COUNTIF('180D Master Plan'!C:C,H12)</f>
        <v>36</v>
      </c>
      <c r="J12">
        <f>COUNTIFS('180D Master Plan'!C:C,H12,'180D Master Plan'!M:M,"Completed")</f>
        <v>0</v>
      </c>
    </row>
    <row r="13" spans="1:10">
      <c r="A13" t="s">
        <v>14</v>
      </c>
      <c r="B13">
        <f>COUNTIF('180D Master Plan'!B:B,A13)</f>
        <v>21</v>
      </c>
      <c r="C13">
        <f>COUNTIFS('180D Master Plan'!B:B,A13,'180D Master Plan'!M:M,"Completed")</f>
        <v>0</v>
      </c>
      <c r="D13">
        <f>COUNTIFS('180D Master Plan'!B:B,A13,'180D Master Plan'!M:M,"In Progress")</f>
        <v>0</v>
      </c>
      <c r="E13">
        <f>COUNTIFS('180D Master Plan'!B:B,A13,'180D Master Plan'!M:M,"At Risk")+COUNTIFS('180D Master Plan'!B:B,A13,'180D Master Plan'!M:M,"Blocked")</f>
        <v>0</v>
      </c>
      <c r="F13" s="4">
        <f>SUMIF('180D Master Plan'!B:B,A13,'180D Master Plan'!O:O)/B13</f>
        <v>0</v>
      </c>
      <c r="H13" t="s">
        <v>15</v>
      </c>
      <c r="I13">
        <f>COUNTIF('180D Master Plan'!C:C,H13)</f>
        <v>19</v>
      </c>
      <c r="J13">
        <f>COUNTIFS('180D Master Plan'!C:C,H13,'180D Master Plan'!M:M,"Completed")</f>
        <v>0</v>
      </c>
    </row>
    <row r="14" spans="1:10">
      <c r="A14" t="s">
        <v>16</v>
      </c>
      <c r="B14">
        <f>COUNTIF('180D Master Plan'!B:B,A14)</f>
        <v>20</v>
      </c>
      <c r="C14">
        <f>COUNTIFS('180D Master Plan'!B:B,A14,'180D Master Plan'!M:M,"Completed")</f>
        <v>0</v>
      </c>
      <c r="D14">
        <f>COUNTIFS('180D Master Plan'!B:B,A14,'180D Master Plan'!M:M,"In Progress")</f>
        <v>0</v>
      </c>
      <c r="E14">
        <f>COUNTIFS('180D Master Plan'!B:B,A14,'180D Master Plan'!M:M,"At Risk")+COUNTIFS('180D Master Plan'!B:B,A14,'180D Master Plan'!M:M,"Blocked")</f>
        <v>0</v>
      </c>
      <c r="F14" s="4">
        <f>SUMIF('180D Master Plan'!B:B,A14,'180D Master Plan'!O:O)/B14</f>
        <v>0</v>
      </c>
      <c r="H14" t="s">
        <v>17</v>
      </c>
      <c r="I14">
        <f>COUNTIF('180D Master Plan'!C:C,H14)</f>
        <v>19</v>
      </c>
      <c r="J14">
        <f>COUNTIFS('180D Master Plan'!C:C,H14,'180D Master Plan'!M:M,"Completed")</f>
        <v>0</v>
      </c>
    </row>
    <row r="15" spans="1:10">
      <c r="A15" t="s">
        <v>18</v>
      </c>
      <c r="B15">
        <f>COUNTIF('180D Master Plan'!B:B,A15)</f>
        <v>20</v>
      </c>
      <c r="C15">
        <f>COUNTIFS('180D Master Plan'!B:B,A15,'180D Master Plan'!M:M,"Completed")</f>
        <v>0</v>
      </c>
      <c r="D15">
        <f>COUNTIFS('180D Master Plan'!B:B,A15,'180D Master Plan'!M:M,"In Progress")</f>
        <v>0</v>
      </c>
      <c r="E15">
        <f>COUNTIFS('180D Master Plan'!B:B,A15,'180D Master Plan'!M:M,"At Risk")+COUNTIFS('180D Master Plan'!B:B,A15,'180D Master Plan'!M:M,"Blocked")</f>
        <v>0</v>
      </c>
      <c r="F15" s="4">
        <f>SUMIF('180D Master Plan'!B:B,A15,'180D Master Plan'!O:O)/B15</f>
        <v>0</v>
      </c>
      <c r="H15" t="s">
        <v>19</v>
      </c>
      <c r="I15">
        <f>COUNTIF('180D Master Plan'!C:C,H15)</f>
        <v>25</v>
      </c>
      <c r="J15">
        <f>COUNTIFS('180D Master Plan'!C:C,H15,'180D Master Plan'!M:M,"Completed")</f>
        <v>0</v>
      </c>
    </row>
    <row r="16" spans="1:10">
      <c r="A16" t="s">
        <v>20</v>
      </c>
      <c r="B16">
        <f>COUNTIF('180D Master Plan'!B:B,A16)</f>
        <v>19</v>
      </c>
      <c r="C16">
        <f>COUNTIFS('180D Master Plan'!B:B,A16,'180D Master Plan'!M:M,"Completed")</f>
        <v>0</v>
      </c>
      <c r="D16">
        <f>COUNTIFS('180D Master Plan'!B:B,A16,'180D Master Plan'!M:M,"In Progress")</f>
        <v>0</v>
      </c>
      <c r="E16">
        <f>COUNTIFS('180D Master Plan'!B:B,A16,'180D Master Plan'!M:M,"At Risk")+COUNTIFS('180D Master Plan'!B:B,A16,'180D Master Plan'!M:M,"Blocked")</f>
        <v>0</v>
      </c>
      <c r="F16" s="4">
        <f>SUMIF('180D Master Plan'!B:B,A16,'180D Master Plan'!O:O)/B16</f>
        <v>0</v>
      </c>
    </row>
    <row r="20" spans="1:14">
      <c r="A20" s="1" t="s">
        <v>21</v>
      </c>
      <c r="B20" s="1" t="s">
        <v>22</v>
      </c>
      <c r="C20" s="1" t="s">
        <v>23</v>
      </c>
      <c r="D20" s="1" t="s">
        <v>24</v>
      </c>
      <c r="H20" s="1" t="s">
        <v>7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  <c r="N20" s="1" t="s">
        <v>30</v>
      </c>
    </row>
    <row r="21" spans="1:14">
      <c r="A21" s="5">
        <v>46204</v>
      </c>
      <c r="B21">
        <f>COUNTIFS('180D Master Plan'!H:H,"&gt;="&amp;A21,'180D Master Plan'!H:H,"&lt;"&amp;EDATE(A21,1))</f>
        <v>31</v>
      </c>
      <c r="C21">
        <f>COUNTIFS('180D Master Plan'!G:G,"&gt;="&amp;A21,'180D Master Plan'!G:G,"&lt;"&amp;EDATE(A21,1))</f>
        <v>42</v>
      </c>
      <c r="D21">
        <f>COUNTIF('180D Master Plan'!H:H,"&lt;"&amp;EDATE(A21,1))</f>
        <v>31</v>
      </c>
      <c r="H21" t="s">
        <v>12</v>
      </c>
      <c r="I21">
        <f>COUNTIFS('180D Master Plan'!B:B,$H21,'180D Master Plan'!G:G,"&lt;"&amp;DATE(2026,8,1),'180D Master Plan'!H:H,"&gt;="&amp;DATE(2026,7,1))</f>
        <v>10</v>
      </c>
      <c r="J21">
        <f>COUNTIFS('180D Master Plan'!B:B,$H21,'180D Master Plan'!G:G,"&lt;"&amp;DATE(2026,9,1),'180D Master Plan'!H:H,"&gt;="&amp;DATE(2026,8,1))</f>
        <v>6</v>
      </c>
      <c r="K21">
        <f>COUNTIFS('180D Master Plan'!B:B,$H21,'180D Master Plan'!G:G,"&lt;"&amp;DATE(2026,10,1),'180D Master Plan'!H:H,"&gt;="&amp;DATE(2026,9,1))</f>
        <v>4</v>
      </c>
      <c r="L21">
        <f>COUNTIFS('180D Master Plan'!B:B,$H21,'180D Master Plan'!G:G,"&lt;"&amp;DATE(2026,11,1),'180D Master Plan'!H:H,"&gt;="&amp;DATE(2026,10,1))</f>
        <v>3</v>
      </c>
      <c r="M21">
        <f>COUNTIFS('180D Master Plan'!B:B,$H21,'180D Master Plan'!G:G,"&lt;"&amp;DATE(2026,12,1),'180D Master Plan'!H:H,"&gt;="&amp;DATE(2026,11,1))</f>
        <v>3</v>
      </c>
      <c r="N21">
        <f>COUNTIFS('180D Master Plan'!B:B,$H21,'180D Master Plan'!G:G,"&lt;"&amp;DATE(2027,1,1),'180D Master Plan'!H:H,"&gt;="&amp;DATE(2026,12,1))</f>
        <v>2</v>
      </c>
    </row>
    <row r="22" spans="1:14">
      <c r="A22" s="5">
        <v>46235</v>
      </c>
      <c r="B22">
        <f>COUNTIFS('180D Master Plan'!H:H,"&gt;="&amp;A22,'180D Master Plan'!H:H,"&lt;"&amp;EDATE(A22,1))</f>
        <v>22</v>
      </c>
      <c r="C22">
        <f>COUNTIFS('180D Master Plan'!G:G,"&gt;="&amp;A22,'180D Master Plan'!G:G,"&lt;"&amp;EDATE(A22,1))</f>
        <v>19</v>
      </c>
      <c r="D22">
        <f>COUNTIF('180D Master Plan'!H:H,"&lt;"&amp;EDATE(A22,1))</f>
        <v>53</v>
      </c>
      <c r="H22" t="s">
        <v>14</v>
      </c>
      <c r="I22">
        <f>COUNTIFS('180D Master Plan'!B:B,$H22,'180D Master Plan'!G:G,"&lt;"&amp;DATE(2026,8,1),'180D Master Plan'!H:H,"&gt;="&amp;DATE(2026,7,1))</f>
        <v>8</v>
      </c>
      <c r="J22">
        <f>COUNTIFS('180D Master Plan'!B:B,$H22,'180D Master Plan'!G:G,"&lt;"&amp;DATE(2026,9,1),'180D Master Plan'!H:H,"&gt;="&amp;DATE(2026,8,1))</f>
        <v>8</v>
      </c>
      <c r="K22">
        <f>COUNTIFS('180D Master Plan'!B:B,$H22,'180D Master Plan'!G:G,"&lt;"&amp;DATE(2026,10,1),'180D Master Plan'!H:H,"&gt;="&amp;DATE(2026,9,1))</f>
        <v>7</v>
      </c>
      <c r="L22">
        <f>COUNTIFS('180D Master Plan'!B:B,$H22,'180D Master Plan'!G:G,"&lt;"&amp;DATE(2026,11,1),'180D Master Plan'!H:H,"&gt;="&amp;DATE(2026,10,1))</f>
        <v>3</v>
      </c>
      <c r="M22">
        <f>COUNTIFS('180D Master Plan'!B:B,$H22,'180D Master Plan'!G:G,"&lt;"&amp;DATE(2026,12,1),'180D Master Plan'!H:H,"&gt;="&amp;DATE(2026,11,1))</f>
        <v>4</v>
      </c>
      <c r="N22">
        <f>COUNTIFS('180D Master Plan'!B:B,$H22,'180D Master Plan'!G:G,"&lt;"&amp;DATE(2027,1,1),'180D Master Plan'!H:H,"&gt;="&amp;DATE(2026,12,1))</f>
        <v>3</v>
      </c>
    </row>
    <row r="23" spans="1:14">
      <c r="A23" s="5">
        <v>46266</v>
      </c>
      <c r="B23">
        <f>COUNTIFS('180D Master Plan'!H:H,"&gt;="&amp;A23,'180D Master Plan'!H:H,"&lt;"&amp;EDATE(A23,1))</f>
        <v>18</v>
      </c>
      <c r="C23">
        <f>COUNTIFS('180D Master Plan'!G:G,"&gt;="&amp;A23,'180D Master Plan'!G:G,"&lt;"&amp;EDATE(A23,1))</f>
        <v>18</v>
      </c>
      <c r="D23">
        <f>COUNTIF('180D Master Plan'!H:H,"&lt;"&amp;EDATE(A23,1))</f>
        <v>71</v>
      </c>
      <c r="H23" t="s">
        <v>16</v>
      </c>
      <c r="I23">
        <f>COUNTIFS('180D Master Plan'!B:B,$H23,'180D Master Plan'!G:G,"&lt;"&amp;DATE(2026,8,1),'180D Master Plan'!H:H,"&gt;="&amp;DATE(2026,7,1))</f>
        <v>8</v>
      </c>
      <c r="J23">
        <f>COUNTIFS('180D Master Plan'!B:B,$H23,'180D Master Plan'!G:G,"&lt;"&amp;DATE(2026,9,1),'180D Master Plan'!H:H,"&gt;="&amp;DATE(2026,8,1))</f>
        <v>5</v>
      </c>
      <c r="K23">
        <f>COUNTIFS('180D Master Plan'!B:B,$H23,'180D Master Plan'!G:G,"&lt;"&amp;DATE(2026,10,1),'180D Master Plan'!H:H,"&gt;="&amp;DATE(2026,9,1))</f>
        <v>5</v>
      </c>
      <c r="L23">
        <f>COUNTIFS('180D Master Plan'!B:B,$H23,'180D Master Plan'!G:G,"&lt;"&amp;DATE(2026,11,1),'180D Master Plan'!H:H,"&gt;="&amp;DATE(2026,10,1))</f>
        <v>4</v>
      </c>
      <c r="M23">
        <f>COUNTIFS('180D Master Plan'!B:B,$H23,'180D Master Plan'!G:G,"&lt;"&amp;DATE(2026,12,1),'180D Master Plan'!H:H,"&gt;="&amp;DATE(2026,11,1))</f>
        <v>4</v>
      </c>
      <c r="N23">
        <f>COUNTIFS('180D Master Plan'!B:B,$H23,'180D Master Plan'!G:G,"&lt;"&amp;DATE(2027,1,1),'180D Master Plan'!H:H,"&gt;="&amp;DATE(2026,12,1))</f>
        <v>3</v>
      </c>
    </row>
    <row r="24" spans="1:14">
      <c r="A24" s="5">
        <v>46296</v>
      </c>
      <c r="B24">
        <f>COUNTIFS('180D Master Plan'!H:H,"&gt;="&amp;A24,'180D Master Plan'!H:H,"&lt;"&amp;EDATE(A24,1))</f>
        <v>8</v>
      </c>
      <c r="C24">
        <f>COUNTIFS('180D Master Plan'!G:G,"&gt;="&amp;A24,'180D Master Plan'!G:G,"&lt;"&amp;EDATE(A24,1))</f>
        <v>10</v>
      </c>
      <c r="D24">
        <f>COUNTIF('180D Master Plan'!H:H,"&lt;"&amp;EDATE(A24,1))</f>
        <v>79</v>
      </c>
      <c r="H24" t="s">
        <v>18</v>
      </c>
      <c r="I24">
        <f>COUNTIFS('180D Master Plan'!B:B,$H24,'180D Master Plan'!G:G,"&lt;"&amp;DATE(2026,8,1),'180D Master Plan'!H:H,"&gt;="&amp;DATE(2026,7,1))</f>
        <v>8</v>
      </c>
      <c r="J24">
        <f>COUNTIFS('180D Master Plan'!B:B,$H24,'180D Master Plan'!G:G,"&lt;"&amp;DATE(2026,9,1),'180D Master Plan'!H:H,"&gt;="&amp;DATE(2026,8,1))</f>
        <v>6</v>
      </c>
      <c r="K24">
        <f>COUNTIFS('180D Master Plan'!B:B,$H24,'180D Master Plan'!G:G,"&lt;"&amp;DATE(2026,10,1),'180D Master Plan'!H:H,"&gt;="&amp;DATE(2026,9,1))</f>
        <v>5</v>
      </c>
      <c r="L24">
        <f>COUNTIFS('180D Master Plan'!B:B,$H24,'180D Master Plan'!G:G,"&lt;"&amp;DATE(2026,11,1),'180D Master Plan'!H:H,"&gt;="&amp;DATE(2026,10,1))</f>
        <v>4</v>
      </c>
      <c r="M24">
        <f>COUNTIFS('180D Master Plan'!B:B,$H24,'180D Master Plan'!G:G,"&lt;"&amp;DATE(2026,12,1),'180D Master Plan'!H:H,"&gt;="&amp;DATE(2026,11,1))</f>
        <v>3</v>
      </c>
      <c r="N24">
        <f>COUNTIFS('180D Master Plan'!B:B,$H24,'180D Master Plan'!G:G,"&lt;"&amp;DATE(2027,1,1),'180D Master Plan'!H:H,"&gt;="&amp;DATE(2026,12,1))</f>
        <v>2</v>
      </c>
    </row>
    <row r="25" spans="1:14">
      <c r="A25" s="5">
        <v>46327</v>
      </c>
      <c r="B25">
        <f>COUNTIFS('180D Master Plan'!H:H,"&gt;="&amp;A25,'180D Master Plan'!H:H,"&lt;"&amp;EDATE(A25,1))</f>
        <v>8</v>
      </c>
      <c r="C25">
        <f>COUNTIFS('180D Master Plan'!G:G,"&gt;="&amp;A25,'180D Master Plan'!G:G,"&lt;"&amp;EDATE(A25,1))</f>
        <v>8</v>
      </c>
      <c r="D25">
        <f>COUNTIF('180D Master Plan'!H:H,"&lt;"&amp;EDATE(A25,1))</f>
        <v>87</v>
      </c>
      <c r="H25" t="s">
        <v>20</v>
      </c>
      <c r="I25">
        <f>COUNTIFS('180D Master Plan'!B:B,$H25,'180D Master Plan'!G:G,"&lt;"&amp;DATE(2026,8,1),'180D Master Plan'!H:H,"&gt;="&amp;DATE(2026,7,1))</f>
        <v>8</v>
      </c>
      <c r="J25">
        <f>COUNTIFS('180D Master Plan'!B:B,$H25,'180D Master Plan'!G:G,"&lt;"&amp;DATE(2026,9,1),'180D Master Plan'!H:H,"&gt;="&amp;DATE(2026,8,1))</f>
        <v>5</v>
      </c>
      <c r="K25">
        <f>COUNTIFS('180D Master Plan'!B:B,$H25,'180D Master Plan'!G:G,"&lt;"&amp;DATE(2026,10,1),'180D Master Plan'!H:H,"&gt;="&amp;DATE(2026,9,1))</f>
        <v>5</v>
      </c>
      <c r="L25">
        <f>COUNTIFS('180D Master Plan'!B:B,$H25,'180D Master Plan'!G:G,"&lt;"&amp;DATE(2026,11,1),'180D Master Plan'!H:H,"&gt;="&amp;DATE(2026,10,1))</f>
        <v>4</v>
      </c>
      <c r="M25">
        <f>COUNTIFS('180D Master Plan'!B:B,$H25,'180D Master Plan'!G:G,"&lt;"&amp;DATE(2026,12,1),'180D Master Plan'!H:H,"&gt;="&amp;DATE(2026,11,1))</f>
        <v>4</v>
      </c>
      <c r="N25">
        <f>COUNTIFS('180D Master Plan'!B:B,$H25,'180D Master Plan'!G:G,"&lt;"&amp;DATE(2027,1,1),'180D Master Plan'!H:H,"&gt;="&amp;DATE(2026,12,1))</f>
        <v>2</v>
      </c>
    </row>
    <row r="26" spans="1:14">
      <c r="A26" s="5">
        <v>46357</v>
      </c>
      <c r="B26">
        <f>COUNTIFS('180D Master Plan'!H:H,"&gt;="&amp;A26,'180D Master Plan'!H:H,"&lt;"&amp;EDATE(A26,1))</f>
        <v>12</v>
      </c>
      <c r="C26">
        <f>COUNTIFS('180D Master Plan'!G:G,"&gt;="&amp;A26,'180D Master Plan'!G:G,"&lt;"&amp;EDATE(A26,1))</f>
        <v>2</v>
      </c>
      <c r="D26">
        <f>COUNTIF('180D Master Plan'!H:H,"&lt;"&amp;EDATE(A26,1))</f>
        <v>99</v>
      </c>
    </row>
    <row r="65" spans="1:10">
      <c r="A65" s="11" t="s">
        <v>31</v>
      </c>
      <c r="B65" s="11"/>
      <c r="C65" s="11"/>
      <c r="D65" s="11"/>
      <c r="E65" s="11"/>
      <c r="F65" s="11"/>
      <c r="G65" s="11"/>
      <c r="H65" s="11"/>
      <c r="I65" s="11"/>
      <c r="J65" s="11"/>
    </row>
    <row r="66" spans="1:10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 spans="1:10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 spans="1:10">
      <c r="A68" s="11"/>
      <c r="B68" s="11"/>
      <c r="C68" s="11"/>
      <c r="D68" s="11"/>
      <c r="E68" s="11"/>
      <c r="F68" s="11"/>
      <c r="G68" s="11"/>
      <c r="H68" s="11"/>
      <c r="I68" s="11"/>
      <c r="J68" s="11"/>
    </row>
  </sheetData>
  <mergeCells count="3">
    <mergeCell ref="A1:J1"/>
    <mergeCell ref="A2:J2"/>
    <mergeCell ref="A65:J6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"/>
  <sheetViews>
    <sheetView tabSelected="1" topLeftCell="B1" zoomScaleNormal="100" zoomScaleSheetLayoutView="100" workbookViewId="0">
      <selection activeCell="D3" sqref="D3"/>
    </sheetView>
  </sheetViews>
  <sheetFormatPr defaultRowHeight="15"/>
  <cols>
    <col min="1" max="1" width="10" customWidth="1"/>
    <col min="2" max="2" width="22" customWidth="1"/>
    <col min="3" max="3" width="24" customWidth="1"/>
    <col min="4" max="4" width="60.875" customWidth="1"/>
    <col min="5" max="6" width="24" customWidth="1"/>
    <col min="7" max="9" width="12" customWidth="1"/>
    <col min="10" max="10" width="18" customWidth="1"/>
    <col min="11" max="11" width="30" customWidth="1"/>
    <col min="12" max="12" width="38" customWidth="1"/>
    <col min="13" max="14" width="14" customWidth="1"/>
    <col min="15" max="16" width="12" customWidth="1"/>
    <col min="17" max="17" width="34" customWidth="1"/>
  </cols>
  <sheetData>
    <row r="1" spans="1:17" ht="32.1" customHeight="1">
      <c r="A1" s="6" t="s">
        <v>32</v>
      </c>
      <c r="B1" s="6" t="s">
        <v>7</v>
      </c>
      <c r="C1" s="6" t="s">
        <v>11</v>
      </c>
      <c r="D1" s="6" t="s">
        <v>33</v>
      </c>
      <c r="E1" s="6" t="s">
        <v>34</v>
      </c>
      <c r="F1" s="6" t="s">
        <v>35</v>
      </c>
      <c r="G1" s="7" t="s">
        <v>36</v>
      </c>
      <c r="H1" s="7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8" t="s">
        <v>44</v>
      </c>
      <c r="P1" s="6" t="s">
        <v>45</v>
      </c>
      <c r="Q1" s="6" t="s">
        <v>46</v>
      </c>
    </row>
    <row r="2" spans="1:17">
      <c r="A2" s="9" t="s">
        <v>47</v>
      </c>
      <c r="B2" s="9" t="s">
        <v>12</v>
      </c>
      <c r="C2" s="9" t="s">
        <v>13</v>
      </c>
      <c r="D2" s="9" t="s">
        <v>48</v>
      </c>
      <c r="E2" s="9" t="s">
        <v>49</v>
      </c>
      <c r="F2" s="9" t="s">
        <v>50</v>
      </c>
      <c r="G2" s="9">
        <v>46204</v>
      </c>
      <c r="H2" s="9">
        <v>46206</v>
      </c>
      <c r="I2" s="9">
        <f>H2-G2+1</f>
        <v>3</v>
      </c>
      <c r="J2" s="9"/>
      <c r="K2" s="9" t="s">
        <v>51</v>
      </c>
      <c r="L2" s="9" t="s">
        <v>52</v>
      </c>
      <c r="M2" s="9" t="s">
        <v>53</v>
      </c>
      <c r="N2" s="9" t="s">
        <v>54</v>
      </c>
      <c r="O2" s="9">
        <v>0</v>
      </c>
      <c r="P2" s="9" t="str">
        <f ca="1">IF(M2="Completed","Green",IF(TODAY()&gt;H2,"Red",IF(AND(TODAY()+14&gt;H2,O2&lt;0.75),"Amber","Green")))</f>
        <v>Green</v>
      </c>
      <c r="Q2" s="9"/>
    </row>
    <row r="3" spans="1:17">
      <c r="A3" s="9" t="s">
        <v>55</v>
      </c>
      <c r="B3" s="9" t="s">
        <v>12</v>
      </c>
      <c r="C3" s="9" t="s">
        <v>13</v>
      </c>
      <c r="D3" s="9" t="s">
        <v>56</v>
      </c>
      <c r="E3" s="9" t="s">
        <v>57</v>
      </c>
      <c r="F3" s="9" t="s">
        <v>58</v>
      </c>
      <c r="G3" s="9">
        <v>46204</v>
      </c>
      <c r="H3" s="9">
        <v>46208</v>
      </c>
      <c r="I3" s="9">
        <f>H3-G3+1</f>
        <v>5</v>
      </c>
      <c r="J3" s="9" t="s">
        <v>59</v>
      </c>
      <c r="K3" s="9" t="s">
        <v>60</v>
      </c>
      <c r="L3" s="9" t="s">
        <v>61</v>
      </c>
      <c r="M3" s="9" t="s">
        <v>53</v>
      </c>
      <c r="N3" s="9" t="s">
        <v>54</v>
      </c>
      <c r="O3" s="9">
        <v>0</v>
      </c>
      <c r="P3" s="9" t="str">
        <f ca="1">IF(M3="Completed","Green",IF(TODAY()&gt;H3,"Red",IF(AND(TODAY()+14&gt;H3,O3&lt;0.75),"Amber","Green")))</f>
        <v>Green</v>
      </c>
      <c r="Q3" s="9"/>
    </row>
    <row r="4" spans="1:17">
      <c r="A4" s="9" t="s">
        <v>62</v>
      </c>
      <c r="B4" s="9" t="s">
        <v>12</v>
      </c>
      <c r="C4" s="9" t="s">
        <v>13</v>
      </c>
      <c r="D4" s="9" t="s">
        <v>63</v>
      </c>
      <c r="E4" s="9" t="s">
        <v>64</v>
      </c>
      <c r="F4" s="9" t="s">
        <v>65</v>
      </c>
      <c r="G4" s="9">
        <v>46207</v>
      </c>
      <c r="H4" s="9">
        <v>46213</v>
      </c>
      <c r="I4" s="9">
        <f>H4-G4+1</f>
        <v>7</v>
      </c>
      <c r="J4" s="9" t="s">
        <v>59</v>
      </c>
      <c r="K4" s="9" t="s">
        <v>66</v>
      </c>
      <c r="L4" s="9" t="s">
        <v>67</v>
      </c>
      <c r="M4" s="9" t="s">
        <v>53</v>
      </c>
      <c r="N4" s="9" t="s">
        <v>54</v>
      </c>
      <c r="O4" s="9">
        <v>0</v>
      </c>
      <c r="P4" s="9" t="str">
        <f ca="1">IF(M4="Completed","Green",IF(TODAY()&gt;H4,"Red",IF(AND(TODAY()+14&gt;H4,O4&lt;0.75),"Amber","Green")))</f>
        <v>Green</v>
      </c>
      <c r="Q4" s="9"/>
    </row>
    <row r="5" spans="1:17">
      <c r="A5" s="9" t="s">
        <v>68</v>
      </c>
      <c r="B5" s="9" t="s">
        <v>12</v>
      </c>
      <c r="C5" s="9" t="s">
        <v>13</v>
      </c>
      <c r="D5" s="9" t="s">
        <v>69</v>
      </c>
      <c r="E5" s="9" t="s">
        <v>57</v>
      </c>
      <c r="F5" s="9" t="s">
        <v>70</v>
      </c>
      <c r="G5" s="9">
        <v>46207</v>
      </c>
      <c r="H5" s="9">
        <v>46216</v>
      </c>
      <c r="I5" s="9">
        <f>H5-G5+1</f>
        <v>10</v>
      </c>
      <c r="J5" s="9" t="s">
        <v>59</v>
      </c>
      <c r="K5" s="9" t="s">
        <v>71</v>
      </c>
      <c r="L5" s="9" t="s">
        <v>72</v>
      </c>
      <c r="M5" s="9" t="s">
        <v>53</v>
      </c>
      <c r="N5" s="9" t="s">
        <v>54</v>
      </c>
      <c r="O5" s="9">
        <v>0</v>
      </c>
      <c r="P5" s="9" t="str">
        <f ca="1">IF(M5="Completed","Green",IF(TODAY()&gt;H5,"Red",IF(AND(TODAY()+14&gt;H5,O5&lt;0.75),"Amber","Green")))</f>
        <v>Green</v>
      </c>
      <c r="Q5" s="9"/>
    </row>
    <row r="6" spans="1:17">
      <c r="A6" s="9" t="s">
        <v>73</v>
      </c>
      <c r="B6" s="9" t="s">
        <v>12</v>
      </c>
      <c r="C6" s="9" t="s">
        <v>13</v>
      </c>
      <c r="D6" s="9" t="s">
        <v>74</v>
      </c>
      <c r="E6" s="9" t="s">
        <v>75</v>
      </c>
      <c r="F6" s="9" t="s">
        <v>76</v>
      </c>
      <c r="G6" s="9">
        <v>46211</v>
      </c>
      <c r="H6" s="9">
        <v>46220</v>
      </c>
      <c r="I6" s="9">
        <f>H6-G6+1</f>
        <v>10</v>
      </c>
      <c r="J6" s="9" t="s">
        <v>77</v>
      </c>
      <c r="K6" s="9" t="s">
        <v>78</v>
      </c>
      <c r="L6" s="9" t="s">
        <v>79</v>
      </c>
      <c r="M6" s="9" t="s">
        <v>53</v>
      </c>
      <c r="N6" s="9" t="s">
        <v>54</v>
      </c>
      <c r="O6" s="9">
        <v>0</v>
      </c>
      <c r="P6" s="9" t="str">
        <f ca="1">IF(M6="Completed","Green",IF(TODAY()&gt;H6,"Red",IF(AND(TODAY()+14&gt;H6,O6&lt;0.75),"Amber","Green")))</f>
        <v>Green</v>
      </c>
      <c r="Q6" s="9"/>
    </row>
    <row r="7" spans="1:17">
      <c r="A7" s="9" t="s">
        <v>80</v>
      </c>
      <c r="B7" s="9" t="s">
        <v>12</v>
      </c>
      <c r="C7" s="9" t="s">
        <v>13</v>
      </c>
      <c r="D7" s="9" t="s">
        <v>81</v>
      </c>
      <c r="E7" s="9" t="s">
        <v>82</v>
      </c>
      <c r="F7" s="9" t="s">
        <v>83</v>
      </c>
      <c r="G7" s="9">
        <v>46215</v>
      </c>
      <c r="H7" s="9">
        <v>46226</v>
      </c>
      <c r="I7" s="9">
        <f>H7-G7+1</f>
        <v>12</v>
      </c>
      <c r="J7" s="9" t="s">
        <v>84</v>
      </c>
      <c r="K7" s="9" t="s">
        <v>85</v>
      </c>
      <c r="L7" s="9" t="s">
        <v>86</v>
      </c>
      <c r="M7" s="9" t="s">
        <v>53</v>
      </c>
      <c r="N7" s="9" t="s">
        <v>54</v>
      </c>
      <c r="O7" s="9">
        <v>0</v>
      </c>
      <c r="P7" s="9" t="str">
        <f ca="1">IF(M7="Completed","Green",IF(TODAY()&gt;H7,"Red",IF(AND(TODAY()+14&gt;H7,O7&lt;0.75),"Amber","Green")))</f>
        <v>Green</v>
      </c>
      <c r="Q7" s="9"/>
    </row>
    <row r="8" spans="1:17">
      <c r="A8" s="9" t="s">
        <v>87</v>
      </c>
      <c r="B8" s="9" t="s">
        <v>12</v>
      </c>
      <c r="C8" s="9" t="s">
        <v>13</v>
      </c>
      <c r="D8" s="9" t="s">
        <v>88</v>
      </c>
      <c r="E8" s="9" t="s">
        <v>89</v>
      </c>
      <c r="F8" s="9" t="s">
        <v>90</v>
      </c>
      <c r="G8" s="9">
        <v>46218</v>
      </c>
      <c r="H8" s="9">
        <v>46227</v>
      </c>
      <c r="I8" s="9">
        <f>H8-G8+1</f>
        <v>10</v>
      </c>
      <c r="J8" s="9" t="s">
        <v>84</v>
      </c>
      <c r="K8" s="9" t="s">
        <v>91</v>
      </c>
      <c r="L8" s="9" t="s">
        <v>92</v>
      </c>
      <c r="M8" s="9" t="s">
        <v>53</v>
      </c>
      <c r="N8" s="9" t="s">
        <v>54</v>
      </c>
      <c r="O8" s="9">
        <v>0</v>
      </c>
      <c r="P8" s="9" t="str">
        <f ca="1">IF(M8="Completed","Green",IF(TODAY()&gt;H8,"Red",IF(AND(TODAY()+14&gt;H8,O8&lt;0.75),"Amber","Green")))</f>
        <v>Green</v>
      </c>
      <c r="Q8" s="9"/>
    </row>
    <row r="9" spans="1:17">
      <c r="A9" s="9" t="s">
        <v>93</v>
      </c>
      <c r="B9" s="9" t="s">
        <v>12</v>
      </c>
      <c r="C9" s="9" t="s">
        <v>13</v>
      </c>
      <c r="D9" s="9" t="s">
        <v>94</v>
      </c>
      <c r="E9" s="9" t="s">
        <v>57</v>
      </c>
      <c r="F9" s="9" t="s">
        <v>95</v>
      </c>
      <c r="G9" s="9">
        <v>46225</v>
      </c>
      <c r="H9" s="9">
        <v>46234</v>
      </c>
      <c r="I9" s="9">
        <f>H9-G9+1</f>
        <v>10</v>
      </c>
      <c r="J9" s="9" t="s">
        <v>96</v>
      </c>
      <c r="K9" s="9" t="s">
        <v>97</v>
      </c>
      <c r="L9" s="9" t="s">
        <v>98</v>
      </c>
      <c r="M9" s="9" t="s">
        <v>53</v>
      </c>
      <c r="N9" s="9" t="s">
        <v>54</v>
      </c>
      <c r="O9" s="9">
        <v>0</v>
      </c>
      <c r="P9" s="9" t="str">
        <f ca="1">IF(M9="Completed","Green",IF(TODAY()&gt;H9,"Red",IF(AND(TODAY()+14&gt;H9,O9&lt;0.75),"Amber","Green")))</f>
        <v>Green</v>
      </c>
      <c r="Q9" s="9"/>
    </row>
    <row r="10" spans="1:17">
      <c r="A10" s="9" t="s">
        <v>99</v>
      </c>
      <c r="B10" s="9" t="s">
        <v>12</v>
      </c>
      <c r="C10" s="9" t="s">
        <v>15</v>
      </c>
      <c r="D10" s="9" t="s">
        <v>100</v>
      </c>
      <c r="E10" s="9" t="s">
        <v>101</v>
      </c>
      <c r="F10" s="9" t="s">
        <v>58</v>
      </c>
      <c r="G10" s="9">
        <v>46234</v>
      </c>
      <c r="H10" s="9">
        <v>46248</v>
      </c>
      <c r="I10" s="9">
        <f>H10-G10+1</f>
        <v>15</v>
      </c>
      <c r="J10" s="9" t="s">
        <v>102</v>
      </c>
      <c r="K10" s="9" t="s">
        <v>103</v>
      </c>
      <c r="L10" s="9" t="s">
        <v>104</v>
      </c>
      <c r="M10" s="9" t="s">
        <v>53</v>
      </c>
      <c r="N10" s="9" t="s">
        <v>54</v>
      </c>
      <c r="O10" s="9">
        <v>0</v>
      </c>
      <c r="P10" s="9" t="str">
        <f ca="1">IF(M10="Completed","Green",IF(TODAY()&gt;H10,"Red",IF(AND(TODAY()+14&gt;H10,O10&lt;0.75),"Amber","Green")))</f>
        <v>Green</v>
      </c>
      <c r="Q10" s="9"/>
    </row>
    <row r="11" spans="1:17">
      <c r="A11" s="9" t="s">
        <v>105</v>
      </c>
      <c r="B11" s="9" t="s">
        <v>12</v>
      </c>
      <c r="C11" s="9" t="s">
        <v>15</v>
      </c>
      <c r="D11" s="9" t="s">
        <v>106</v>
      </c>
      <c r="E11" s="9" t="s">
        <v>75</v>
      </c>
      <c r="F11" s="9" t="s">
        <v>76</v>
      </c>
      <c r="G11" s="9">
        <v>46234</v>
      </c>
      <c r="H11" s="9">
        <v>46253</v>
      </c>
      <c r="I11" s="9">
        <f>H11-G11+1</f>
        <v>20</v>
      </c>
      <c r="J11" s="9" t="s">
        <v>107</v>
      </c>
      <c r="K11" s="9" t="s">
        <v>108</v>
      </c>
      <c r="L11" s="9" t="s">
        <v>109</v>
      </c>
      <c r="M11" s="9" t="s">
        <v>53</v>
      </c>
      <c r="N11" s="9" t="s">
        <v>54</v>
      </c>
      <c r="O11" s="9">
        <v>0</v>
      </c>
      <c r="P11" s="9" t="str">
        <f ca="1">IF(M11="Completed","Green",IF(TODAY()&gt;H11,"Red",IF(AND(TODAY()+14&gt;H11,O11&lt;0.75),"Amber","Green")))</f>
        <v>Green</v>
      </c>
      <c r="Q11" s="9"/>
    </row>
    <row r="12" spans="1:17">
      <c r="A12" s="9" t="s">
        <v>110</v>
      </c>
      <c r="B12" s="9" t="s">
        <v>12</v>
      </c>
      <c r="C12" s="9" t="s">
        <v>15</v>
      </c>
      <c r="D12" s="9" t="s">
        <v>111</v>
      </c>
      <c r="E12" s="9" t="s">
        <v>57</v>
      </c>
      <c r="F12" s="9" t="s">
        <v>95</v>
      </c>
      <c r="G12" s="9">
        <v>46243</v>
      </c>
      <c r="H12" s="9">
        <v>46257</v>
      </c>
      <c r="I12" s="9">
        <f>H12-G12+1</f>
        <v>15</v>
      </c>
      <c r="J12" s="9" t="s">
        <v>112</v>
      </c>
      <c r="K12" s="9" t="s">
        <v>113</v>
      </c>
      <c r="L12" s="9" t="s">
        <v>114</v>
      </c>
      <c r="M12" s="9" t="s">
        <v>53</v>
      </c>
      <c r="N12" s="9" t="s">
        <v>54</v>
      </c>
      <c r="O12" s="9">
        <v>0</v>
      </c>
      <c r="P12" s="9" t="str">
        <f ca="1">IF(M12="Completed","Green",IF(TODAY()&gt;H12,"Red",IF(AND(TODAY()+14&gt;H12,O12&lt;0.75),"Amber","Green")))</f>
        <v>Green</v>
      </c>
      <c r="Q12" s="9"/>
    </row>
    <row r="13" spans="1:17">
      <c r="A13" s="9" t="s">
        <v>115</v>
      </c>
      <c r="B13" s="9" t="s">
        <v>12</v>
      </c>
      <c r="C13" s="9" t="s">
        <v>15</v>
      </c>
      <c r="D13" s="9" t="s">
        <v>116</v>
      </c>
      <c r="E13" s="9" t="s">
        <v>82</v>
      </c>
      <c r="F13" s="9" t="s">
        <v>83</v>
      </c>
      <c r="G13" s="9">
        <v>46248</v>
      </c>
      <c r="H13" s="9">
        <v>46262</v>
      </c>
      <c r="I13" s="9">
        <f>H13-G13+1</f>
        <v>15</v>
      </c>
      <c r="J13" s="9" t="s">
        <v>117</v>
      </c>
      <c r="K13" s="9" t="s">
        <v>118</v>
      </c>
      <c r="L13" s="9" t="s">
        <v>119</v>
      </c>
      <c r="M13" s="9" t="s">
        <v>53</v>
      </c>
      <c r="N13" s="9" t="s">
        <v>54</v>
      </c>
      <c r="O13" s="9">
        <v>0</v>
      </c>
      <c r="P13" s="9" t="str">
        <f ca="1">IF(M13="Completed","Green",IF(TODAY()&gt;H13,"Red",IF(AND(TODAY()+14&gt;H13,O13&lt;0.75),"Amber","Green")))</f>
        <v>Green</v>
      </c>
      <c r="Q13" s="9"/>
    </row>
    <row r="14" spans="1:17">
      <c r="A14" s="9" t="s">
        <v>120</v>
      </c>
      <c r="B14" s="9" t="s">
        <v>12</v>
      </c>
      <c r="C14" s="9" t="s">
        <v>17</v>
      </c>
      <c r="D14" s="9" t="s">
        <v>121</v>
      </c>
      <c r="E14" s="9" t="s">
        <v>57</v>
      </c>
      <c r="F14" s="9" t="s">
        <v>90</v>
      </c>
      <c r="G14" s="9">
        <v>46264</v>
      </c>
      <c r="H14" s="9">
        <v>46283</v>
      </c>
      <c r="I14" s="9">
        <f>H14-G14+1</f>
        <v>20</v>
      </c>
      <c r="J14" s="9" t="s">
        <v>122</v>
      </c>
      <c r="K14" s="9" t="s">
        <v>123</v>
      </c>
      <c r="L14" s="9" t="s">
        <v>124</v>
      </c>
      <c r="M14" s="9" t="s">
        <v>53</v>
      </c>
      <c r="N14" s="9" t="s">
        <v>54</v>
      </c>
      <c r="O14" s="9">
        <v>0</v>
      </c>
      <c r="P14" s="9" t="str">
        <f ca="1">IF(M14="Completed","Green",IF(TODAY()&gt;H14,"Red",IF(AND(TODAY()+14&gt;H14,O14&lt;0.75),"Amber","Green")))</f>
        <v>Green</v>
      </c>
      <c r="Q14" s="9"/>
    </row>
    <row r="15" spans="1:17">
      <c r="A15" s="9" t="s">
        <v>125</v>
      </c>
      <c r="B15" s="9" t="s">
        <v>12</v>
      </c>
      <c r="C15" s="9" t="s">
        <v>17</v>
      </c>
      <c r="D15" s="9" t="s">
        <v>126</v>
      </c>
      <c r="E15" s="9" t="s">
        <v>49</v>
      </c>
      <c r="F15" s="9" t="s">
        <v>127</v>
      </c>
      <c r="G15" s="9">
        <v>46264</v>
      </c>
      <c r="H15" s="9">
        <v>46288</v>
      </c>
      <c r="I15" s="9">
        <f>H15-G15+1</f>
        <v>25</v>
      </c>
      <c r="J15" s="9" t="s">
        <v>128</v>
      </c>
      <c r="K15" s="9" t="s">
        <v>129</v>
      </c>
      <c r="L15" s="9" t="s">
        <v>130</v>
      </c>
      <c r="M15" s="9" t="s">
        <v>53</v>
      </c>
      <c r="N15" s="9" t="s">
        <v>54</v>
      </c>
      <c r="O15" s="9">
        <v>0</v>
      </c>
      <c r="P15" s="9" t="str">
        <f ca="1">IF(M15="Completed","Green",IF(TODAY()&gt;H15,"Red",IF(AND(TODAY()+14&gt;H15,O15&lt;0.75),"Amber","Green")))</f>
        <v>Green</v>
      </c>
      <c r="Q15" s="9"/>
    </row>
    <row r="16" spans="1:17">
      <c r="A16" s="9" t="s">
        <v>131</v>
      </c>
      <c r="B16" s="9" t="s">
        <v>12</v>
      </c>
      <c r="C16" s="9" t="s">
        <v>17</v>
      </c>
      <c r="D16" s="9" t="s">
        <v>132</v>
      </c>
      <c r="E16" s="9" t="s">
        <v>49</v>
      </c>
      <c r="F16" s="9" t="s">
        <v>50</v>
      </c>
      <c r="G16" s="9">
        <v>46278</v>
      </c>
      <c r="H16" s="9">
        <v>46292</v>
      </c>
      <c r="I16" s="9">
        <f>H16-G16+1</f>
        <v>15</v>
      </c>
      <c r="J16" s="9" t="s">
        <v>133</v>
      </c>
      <c r="K16" s="9" t="s">
        <v>134</v>
      </c>
      <c r="L16" s="9" t="s">
        <v>135</v>
      </c>
      <c r="M16" s="9" t="s">
        <v>53</v>
      </c>
      <c r="N16" s="9" t="s">
        <v>54</v>
      </c>
      <c r="O16" s="9">
        <v>0</v>
      </c>
      <c r="P16" s="9" t="str">
        <f ca="1">IF(M16="Completed","Green",IF(TODAY()&gt;H16,"Red",IF(AND(TODAY()+14&gt;H16,O16&lt;0.75),"Amber","Green")))</f>
        <v>Green</v>
      </c>
      <c r="Q16" s="9"/>
    </row>
    <row r="17" spans="1:17">
      <c r="A17" s="9" t="s">
        <v>136</v>
      </c>
      <c r="B17" s="9" t="s">
        <v>12</v>
      </c>
      <c r="C17" s="9" t="s">
        <v>19</v>
      </c>
      <c r="D17" s="9" t="s">
        <v>137</v>
      </c>
      <c r="E17" s="9" t="s">
        <v>101</v>
      </c>
      <c r="F17" s="9" t="s">
        <v>58</v>
      </c>
      <c r="G17" s="9">
        <v>46294</v>
      </c>
      <c r="H17" s="9">
        <v>46323</v>
      </c>
      <c r="I17" s="9">
        <f>H17-G17+1</f>
        <v>30</v>
      </c>
      <c r="J17" s="9" t="s">
        <v>138</v>
      </c>
      <c r="K17" s="9" t="s">
        <v>139</v>
      </c>
      <c r="L17" s="9" t="s">
        <v>140</v>
      </c>
      <c r="M17" s="9" t="s">
        <v>53</v>
      </c>
      <c r="N17" s="9" t="s">
        <v>54</v>
      </c>
      <c r="O17" s="9">
        <v>0</v>
      </c>
      <c r="P17" s="9" t="str">
        <f ca="1">IF(M17="Completed","Green",IF(TODAY()&gt;H17,"Red",IF(AND(TODAY()+14&gt;H17,O17&lt;0.75),"Amber","Green")))</f>
        <v>Green</v>
      </c>
      <c r="Q17" s="9"/>
    </row>
    <row r="18" spans="1:17">
      <c r="A18" s="9" t="s">
        <v>141</v>
      </c>
      <c r="B18" s="9" t="s">
        <v>12</v>
      </c>
      <c r="C18" s="9" t="s">
        <v>19</v>
      </c>
      <c r="D18" s="9" t="s">
        <v>142</v>
      </c>
      <c r="E18" s="9" t="s">
        <v>143</v>
      </c>
      <c r="F18" s="9" t="s">
        <v>95</v>
      </c>
      <c r="G18" s="9">
        <v>46303</v>
      </c>
      <c r="H18" s="9">
        <v>46347</v>
      </c>
      <c r="I18" s="9">
        <f>H18-G18+1</f>
        <v>45</v>
      </c>
      <c r="J18" s="9" t="s">
        <v>144</v>
      </c>
      <c r="K18" s="9" t="s">
        <v>145</v>
      </c>
      <c r="L18" s="9" t="s">
        <v>146</v>
      </c>
      <c r="M18" s="9" t="s">
        <v>53</v>
      </c>
      <c r="N18" s="9" t="s">
        <v>54</v>
      </c>
      <c r="O18" s="9">
        <v>0</v>
      </c>
      <c r="P18" s="9" t="str">
        <f ca="1">IF(M18="Completed","Green",IF(TODAY()&gt;H18,"Red",IF(AND(TODAY()+14&gt;H18,O18&lt;0.75),"Amber","Green")))</f>
        <v>Green</v>
      </c>
      <c r="Q18" s="9"/>
    </row>
    <row r="19" spans="1:17">
      <c r="A19" s="9" t="s">
        <v>147</v>
      </c>
      <c r="B19" s="9" t="s">
        <v>12</v>
      </c>
      <c r="C19" s="9" t="s">
        <v>19</v>
      </c>
      <c r="D19" s="9" t="s">
        <v>148</v>
      </c>
      <c r="E19" s="9" t="s">
        <v>49</v>
      </c>
      <c r="F19" s="9" t="s">
        <v>50</v>
      </c>
      <c r="G19" s="9">
        <v>46323</v>
      </c>
      <c r="H19" s="9">
        <v>46367</v>
      </c>
      <c r="I19" s="9">
        <f>H19-G19+1</f>
        <v>45</v>
      </c>
      <c r="J19" s="9" t="s">
        <v>149</v>
      </c>
      <c r="K19" s="9" t="s">
        <v>150</v>
      </c>
      <c r="L19" s="9" t="s">
        <v>151</v>
      </c>
      <c r="M19" s="9" t="s">
        <v>53</v>
      </c>
      <c r="N19" s="9" t="s">
        <v>54</v>
      </c>
      <c r="O19" s="9">
        <v>0</v>
      </c>
      <c r="P19" s="9" t="str">
        <f ca="1">IF(M19="Completed","Green",IF(TODAY()&gt;H19,"Red",IF(AND(TODAY()+14&gt;H19,O19&lt;0.75),"Amber","Green")))</f>
        <v>Green</v>
      </c>
      <c r="Q19" s="9"/>
    </row>
    <row r="20" spans="1:17">
      <c r="A20" s="9" t="s">
        <v>152</v>
      </c>
      <c r="B20" s="9" t="s">
        <v>12</v>
      </c>
      <c r="C20" s="9" t="s">
        <v>19</v>
      </c>
      <c r="D20" s="9" t="s">
        <v>153</v>
      </c>
      <c r="E20" s="9" t="s">
        <v>57</v>
      </c>
      <c r="F20" s="9" t="s">
        <v>50</v>
      </c>
      <c r="G20" s="9">
        <v>46353</v>
      </c>
      <c r="H20" s="9">
        <v>46382</v>
      </c>
      <c r="I20" s="9">
        <f>H20-G20+1</f>
        <v>30</v>
      </c>
      <c r="J20" s="9" t="s">
        <v>154</v>
      </c>
      <c r="K20" s="9" t="s">
        <v>155</v>
      </c>
      <c r="L20" s="9" t="s">
        <v>156</v>
      </c>
      <c r="M20" s="9" t="s">
        <v>53</v>
      </c>
      <c r="N20" s="9" t="s">
        <v>54</v>
      </c>
      <c r="O20" s="9">
        <v>0</v>
      </c>
      <c r="P20" s="9" t="str">
        <f ca="1">IF(M20="Completed","Green",IF(TODAY()&gt;H20,"Red",IF(AND(TODAY()+14&gt;H20,O20&lt;0.75),"Amber","Green")))</f>
        <v>Green</v>
      </c>
      <c r="Q20" s="9"/>
    </row>
    <row r="21" spans="1:17">
      <c r="A21" s="9" t="s">
        <v>157</v>
      </c>
      <c r="B21" s="9" t="s">
        <v>14</v>
      </c>
      <c r="C21" s="9" t="s">
        <v>13</v>
      </c>
      <c r="D21" s="9" t="s">
        <v>158</v>
      </c>
      <c r="E21" s="9" t="s">
        <v>159</v>
      </c>
      <c r="F21" s="9" t="s">
        <v>160</v>
      </c>
      <c r="G21" s="9">
        <v>46204</v>
      </c>
      <c r="H21" s="9">
        <v>46208</v>
      </c>
      <c r="I21" s="9">
        <f>H21-G21+1</f>
        <v>5</v>
      </c>
      <c r="J21" s="9"/>
      <c r="K21" s="9" t="s">
        <v>161</v>
      </c>
      <c r="L21" s="9" t="s">
        <v>162</v>
      </c>
      <c r="M21" s="9" t="s">
        <v>53</v>
      </c>
      <c r="N21" s="9" t="s">
        <v>54</v>
      </c>
      <c r="O21" s="9">
        <v>0</v>
      </c>
      <c r="P21" s="9" t="str">
        <f ca="1">IF(M21="Completed","Green",IF(TODAY()&gt;H21,"Red",IF(AND(TODAY()+14&gt;H21,O21&lt;0.75),"Amber","Green")))</f>
        <v>Green</v>
      </c>
      <c r="Q21" s="9"/>
    </row>
    <row r="22" spans="1:17">
      <c r="A22" s="9" t="s">
        <v>163</v>
      </c>
      <c r="B22" s="9" t="s">
        <v>14</v>
      </c>
      <c r="C22" s="9" t="s">
        <v>13</v>
      </c>
      <c r="D22" s="9" t="s">
        <v>164</v>
      </c>
      <c r="E22" s="9" t="s">
        <v>165</v>
      </c>
      <c r="F22" s="9" t="s">
        <v>160</v>
      </c>
      <c r="G22" s="9">
        <v>46207</v>
      </c>
      <c r="H22" s="9">
        <v>46214</v>
      </c>
      <c r="I22" s="9">
        <f>H22-G22+1</f>
        <v>8</v>
      </c>
      <c r="J22" s="9" t="s">
        <v>157</v>
      </c>
      <c r="K22" s="9" t="s">
        <v>166</v>
      </c>
      <c r="L22" s="9" t="s">
        <v>167</v>
      </c>
      <c r="M22" s="9" t="s">
        <v>53</v>
      </c>
      <c r="N22" s="9" t="s">
        <v>54</v>
      </c>
      <c r="O22" s="9">
        <v>0</v>
      </c>
      <c r="P22" s="9" t="str">
        <f ca="1">IF(M22="Completed","Green",IF(TODAY()&gt;H22,"Red",IF(AND(TODAY()+14&gt;H22,O22&lt;0.75),"Amber","Green")))</f>
        <v>Green</v>
      </c>
      <c r="Q22" s="9"/>
    </row>
    <row r="23" spans="1:17">
      <c r="A23" s="9" t="s">
        <v>168</v>
      </c>
      <c r="B23" s="9" t="s">
        <v>14</v>
      </c>
      <c r="C23" s="9" t="s">
        <v>13</v>
      </c>
      <c r="D23" s="9" t="s">
        <v>169</v>
      </c>
      <c r="E23" s="9" t="s">
        <v>159</v>
      </c>
      <c r="F23" s="9" t="s">
        <v>160</v>
      </c>
      <c r="G23" s="9">
        <v>46211</v>
      </c>
      <c r="H23" s="9">
        <v>46220</v>
      </c>
      <c r="I23" s="9">
        <f>H23-G23+1</f>
        <v>10</v>
      </c>
      <c r="J23" s="9" t="s">
        <v>163</v>
      </c>
      <c r="K23" s="9" t="s">
        <v>170</v>
      </c>
      <c r="L23" s="9" t="s">
        <v>171</v>
      </c>
      <c r="M23" s="9" t="s">
        <v>53</v>
      </c>
      <c r="N23" s="9" t="s">
        <v>54</v>
      </c>
      <c r="O23" s="9">
        <v>0</v>
      </c>
      <c r="P23" s="9" t="str">
        <f ca="1">IF(M23="Completed","Green",IF(TODAY()&gt;H23,"Red",IF(AND(TODAY()+14&gt;H23,O23&lt;0.75),"Amber","Green")))</f>
        <v>Green</v>
      </c>
      <c r="Q23" s="9"/>
    </row>
    <row r="24" spans="1:17">
      <c r="A24" s="9" t="s">
        <v>172</v>
      </c>
      <c r="B24" s="9" t="s">
        <v>14</v>
      </c>
      <c r="C24" s="9" t="s">
        <v>13</v>
      </c>
      <c r="D24" s="9" t="s">
        <v>173</v>
      </c>
      <c r="E24" s="9" t="s">
        <v>174</v>
      </c>
      <c r="F24" s="9" t="s">
        <v>175</v>
      </c>
      <c r="G24" s="9">
        <v>46215</v>
      </c>
      <c r="H24" s="9">
        <v>46226</v>
      </c>
      <c r="I24" s="9">
        <f>H24-G24+1</f>
        <v>12</v>
      </c>
      <c r="J24" s="9" t="s">
        <v>163</v>
      </c>
      <c r="K24" s="9" t="s">
        <v>176</v>
      </c>
      <c r="L24" s="9" t="s">
        <v>177</v>
      </c>
      <c r="M24" s="9" t="s">
        <v>53</v>
      </c>
      <c r="N24" s="9" t="s">
        <v>54</v>
      </c>
      <c r="O24" s="9">
        <v>0</v>
      </c>
      <c r="P24" s="9" t="str">
        <f ca="1">IF(M24="Completed","Green",IF(TODAY()&gt;H24,"Red",IF(AND(TODAY()+14&gt;H24,O24&lt;0.75),"Amber","Green")))</f>
        <v>Green</v>
      </c>
      <c r="Q24" s="9"/>
    </row>
    <row r="25" spans="1:17">
      <c r="A25" s="9" t="s">
        <v>178</v>
      </c>
      <c r="B25" s="9" t="s">
        <v>14</v>
      </c>
      <c r="C25" s="9" t="s">
        <v>13</v>
      </c>
      <c r="D25" s="9" t="s">
        <v>179</v>
      </c>
      <c r="E25" s="9" t="s">
        <v>165</v>
      </c>
      <c r="F25" s="9" t="s">
        <v>180</v>
      </c>
      <c r="G25" s="9">
        <v>46219</v>
      </c>
      <c r="H25" s="9">
        <v>46233</v>
      </c>
      <c r="I25" s="9">
        <f>H25-G25+1</f>
        <v>15</v>
      </c>
      <c r="J25" s="9" t="s">
        <v>168</v>
      </c>
      <c r="K25" s="9" t="s">
        <v>181</v>
      </c>
      <c r="L25" s="9" t="s">
        <v>182</v>
      </c>
      <c r="M25" s="9" t="s">
        <v>53</v>
      </c>
      <c r="N25" s="9" t="s">
        <v>54</v>
      </c>
      <c r="O25" s="9">
        <v>0</v>
      </c>
      <c r="P25" s="9" t="str">
        <f ca="1">IF(M25="Completed","Green",IF(TODAY()&gt;H25,"Red",IF(AND(TODAY()+14&gt;H25,O25&lt;0.75),"Amber","Green")))</f>
        <v>Green</v>
      </c>
      <c r="Q25" s="9"/>
    </row>
    <row r="26" spans="1:17">
      <c r="A26" s="9" t="s">
        <v>183</v>
      </c>
      <c r="B26" s="9" t="s">
        <v>14</v>
      </c>
      <c r="C26" s="9" t="s">
        <v>13</v>
      </c>
      <c r="D26" s="9" t="s">
        <v>184</v>
      </c>
      <c r="E26" s="9" t="s">
        <v>185</v>
      </c>
      <c r="F26" s="9" t="s">
        <v>186</v>
      </c>
      <c r="G26" s="9">
        <v>46223</v>
      </c>
      <c r="H26" s="9">
        <v>46237</v>
      </c>
      <c r="I26" s="9">
        <f>H26-G26+1</f>
        <v>15</v>
      </c>
      <c r="J26" s="9" t="s">
        <v>168</v>
      </c>
      <c r="K26" s="9" t="s">
        <v>187</v>
      </c>
      <c r="L26" s="9" t="s">
        <v>188</v>
      </c>
      <c r="M26" s="9" t="s">
        <v>53</v>
      </c>
      <c r="N26" s="9" t="s">
        <v>54</v>
      </c>
      <c r="O26" s="9">
        <v>0</v>
      </c>
      <c r="P26" s="9" t="str">
        <f ca="1">IF(M26="Completed","Green",IF(TODAY()&gt;H26,"Red",IF(AND(TODAY()+14&gt;H26,O26&lt;0.75),"Amber","Green")))</f>
        <v>Green</v>
      </c>
      <c r="Q26" s="9"/>
    </row>
    <row r="27" spans="1:17">
      <c r="A27" s="9" t="s">
        <v>189</v>
      </c>
      <c r="B27" s="9" t="s">
        <v>14</v>
      </c>
      <c r="C27" s="9" t="s">
        <v>13</v>
      </c>
      <c r="D27" s="9" t="s">
        <v>190</v>
      </c>
      <c r="E27" s="9" t="s">
        <v>165</v>
      </c>
      <c r="F27" s="9" t="s">
        <v>191</v>
      </c>
      <c r="G27" s="9">
        <v>46228</v>
      </c>
      <c r="H27" s="9">
        <v>46237</v>
      </c>
      <c r="I27" s="9">
        <f>H27-G27+1</f>
        <v>10</v>
      </c>
      <c r="J27" s="9" t="s">
        <v>172</v>
      </c>
      <c r="K27" s="9" t="s">
        <v>192</v>
      </c>
      <c r="L27" s="9" t="s">
        <v>193</v>
      </c>
      <c r="M27" s="9" t="s">
        <v>53</v>
      </c>
      <c r="N27" s="9" t="s">
        <v>54</v>
      </c>
      <c r="O27" s="9">
        <v>0</v>
      </c>
      <c r="P27" s="9" t="str">
        <f ca="1">IF(M27="Completed","Green",IF(TODAY()&gt;H27,"Red",IF(AND(TODAY()+14&gt;H27,O27&lt;0.75),"Amber","Green")))</f>
        <v>Green</v>
      </c>
      <c r="Q27" s="9"/>
    </row>
    <row r="28" spans="1:17">
      <c r="A28" s="9" t="s">
        <v>194</v>
      </c>
      <c r="B28" s="9" t="s">
        <v>14</v>
      </c>
      <c r="C28" s="9" t="s">
        <v>15</v>
      </c>
      <c r="D28" s="9" t="s">
        <v>195</v>
      </c>
      <c r="E28" s="9" t="s">
        <v>159</v>
      </c>
      <c r="F28" s="9" t="s">
        <v>160</v>
      </c>
      <c r="G28" s="9">
        <v>46234</v>
      </c>
      <c r="H28" s="9">
        <v>46248</v>
      </c>
      <c r="I28" s="9">
        <f>H28-G28+1</f>
        <v>15</v>
      </c>
      <c r="J28" s="9" t="s">
        <v>196</v>
      </c>
      <c r="K28" s="9" t="s">
        <v>197</v>
      </c>
      <c r="L28" s="9" t="s">
        <v>198</v>
      </c>
      <c r="M28" s="9" t="s">
        <v>53</v>
      </c>
      <c r="N28" s="9" t="s">
        <v>54</v>
      </c>
      <c r="O28" s="9">
        <v>0</v>
      </c>
      <c r="P28" s="9" t="str">
        <f ca="1">IF(M28="Completed","Green",IF(TODAY()&gt;H28,"Red",IF(AND(TODAY()+14&gt;H28,O28&lt;0.75),"Amber","Green")))</f>
        <v>Green</v>
      </c>
      <c r="Q28" s="9"/>
    </row>
    <row r="29" spans="1:17">
      <c r="A29" s="9" t="s">
        <v>199</v>
      </c>
      <c r="B29" s="9" t="s">
        <v>14</v>
      </c>
      <c r="C29" s="9" t="s">
        <v>15</v>
      </c>
      <c r="D29" s="9" t="s">
        <v>200</v>
      </c>
      <c r="E29" s="9" t="s">
        <v>201</v>
      </c>
      <c r="F29" s="9" t="s">
        <v>160</v>
      </c>
      <c r="G29" s="9">
        <v>46238</v>
      </c>
      <c r="H29" s="9">
        <v>46257</v>
      </c>
      <c r="I29" s="9">
        <f>H29-G29+1</f>
        <v>20</v>
      </c>
      <c r="J29" s="9" t="s">
        <v>172</v>
      </c>
      <c r="K29" s="9" t="s">
        <v>202</v>
      </c>
      <c r="L29" s="9" t="s">
        <v>203</v>
      </c>
      <c r="M29" s="9" t="s">
        <v>53</v>
      </c>
      <c r="N29" s="9" t="s">
        <v>54</v>
      </c>
      <c r="O29" s="9">
        <v>0</v>
      </c>
      <c r="P29" s="9" t="str">
        <f ca="1">IF(M29="Completed","Green",IF(TODAY()&gt;H29,"Red",IF(AND(TODAY()+14&gt;H29,O29&lt;0.75),"Amber","Green")))</f>
        <v>Green</v>
      </c>
      <c r="Q29" s="9"/>
    </row>
    <row r="30" spans="1:17">
      <c r="A30" s="9" t="s">
        <v>204</v>
      </c>
      <c r="B30" s="9" t="s">
        <v>14</v>
      </c>
      <c r="C30" s="9" t="s">
        <v>15</v>
      </c>
      <c r="D30" s="9" t="s">
        <v>205</v>
      </c>
      <c r="E30" s="9" t="s">
        <v>206</v>
      </c>
      <c r="F30" s="9" t="s">
        <v>90</v>
      </c>
      <c r="G30" s="9">
        <v>46243</v>
      </c>
      <c r="H30" s="9">
        <v>46262</v>
      </c>
      <c r="I30" s="9">
        <f>H30-G30+1</f>
        <v>20</v>
      </c>
      <c r="J30" s="9" t="s">
        <v>178</v>
      </c>
      <c r="K30" s="9" t="s">
        <v>207</v>
      </c>
      <c r="L30" s="9" t="s">
        <v>208</v>
      </c>
      <c r="M30" s="9" t="s">
        <v>53</v>
      </c>
      <c r="N30" s="9" t="s">
        <v>54</v>
      </c>
      <c r="O30" s="9">
        <v>0</v>
      </c>
      <c r="P30" s="9" t="str">
        <f ca="1">IF(M30="Completed","Green",IF(TODAY()&gt;H30,"Red",IF(AND(TODAY()+14&gt;H30,O30&lt;0.75),"Amber","Green")))</f>
        <v>Green</v>
      </c>
      <c r="Q30" s="9"/>
    </row>
    <row r="31" spans="1:17">
      <c r="A31" s="9" t="s">
        <v>209</v>
      </c>
      <c r="B31" s="9" t="s">
        <v>14</v>
      </c>
      <c r="C31" s="9" t="s">
        <v>15</v>
      </c>
      <c r="D31" s="9" t="s">
        <v>210</v>
      </c>
      <c r="E31" s="9" t="s">
        <v>206</v>
      </c>
      <c r="F31" s="9" t="s">
        <v>211</v>
      </c>
      <c r="G31" s="9">
        <v>46248</v>
      </c>
      <c r="H31" s="9">
        <v>46267</v>
      </c>
      <c r="I31" s="9">
        <f>H31-G31+1</f>
        <v>20</v>
      </c>
      <c r="J31" s="9" t="s">
        <v>212</v>
      </c>
      <c r="K31" s="9" t="s">
        <v>213</v>
      </c>
      <c r="L31" s="9" t="s">
        <v>214</v>
      </c>
      <c r="M31" s="9" t="s">
        <v>53</v>
      </c>
      <c r="N31" s="9" t="s">
        <v>54</v>
      </c>
      <c r="O31" s="9">
        <v>0</v>
      </c>
      <c r="P31" s="9" t="str">
        <f ca="1">IF(M31="Completed","Green",IF(TODAY()&gt;H31,"Red",IF(AND(TODAY()+14&gt;H31,O31&lt;0.75),"Amber","Green")))</f>
        <v>Green</v>
      </c>
      <c r="Q31" s="9"/>
    </row>
    <row r="32" spans="1:17">
      <c r="A32" s="9" t="s">
        <v>215</v>
      </c>
      <c r="B32" s="9" t="s">
        <v>14</v>
      </c>
      <c r="C32" s="9" t="s">
        <v>15</v>
      </c>
      <c r="D32" s="9" t="s">
        <v>216</v>
      </c>
      <c r="E32" s="9" t="s">
        <v>206</v>
      </c>
      <c r="F32" s="9" t="s">
        <v>160</v>
      </c>
      <c r="G32" s="9">
        <v>46258</v>
      </c>
      <c r="H32" s="9">
        <v>46272</v>
      </c>
      <c r="I32" s="9">
        <f>H32-G32+1</f>
        <v>15</v>
      </c>
      <c r="J32" s="9" t="s">
        <v>217</v>
      </c>
      <c r="K32" s="9" t="s">
        <v>218</v>
      </c>
      <c r="L32" s="9" t="s">
        <v>219</v>
      </c>
      <c r="M32" s="9" t="s">
        <v>53</v>
      </c>
      <c r="N32" s="9" t="s">
        <v>54</v>
      </c>
      <c r="O32" s="9">
        <v>0</v>
      </c>
      <c r="P32" s="9" t="str">
        <f ca="1">IF(M32="Completed","Green",IF(TODAY()&gt;H32,"Red",IF(AND(TODAY()+14&gt;H32,O32&lt;0.75),"Amber","Green")))</f>
        <v>Green</v>
      </c>
      <c r="Q32" s="9"/>
    </row>
    <row r="33" spans="1:17">
      <c r="A33" s="9" t="s">
        <v>220</v>
      </c>
      <c r="B33" s="9" t="s">
        <v>14</v>
      </c>
      <c r="C33" s="9" t="s">
        <v>17</v>
      </c>
      <c r="D33" s="9" t="s">
        <v>221</v>
      </c>
      <c r="E33" s="9" t="s">
        <v>222</v>
      </c>
      <c r="F33" s="9" t="s">
        <v>211</v>
      </c>
      <c r="G33" s="9">
        <v>46264</v>
      </c>
      <c r="H33" s="9">
        <v>46283</v>
      </c>
      <c r="I33" s="9">
        <f>H33-G33+1</f>
        <v>20</v>
      </c>
      <c r="J33" s="9" t="s">
        <v>223</v>
      </c>
      <c r="K33" s="9" t="s">
        <v>224</v>
      </c>
      <c r="L33" s="9" t="s">
        <v>225</v>
      </c>
      <c r="M33" s="9" t="s">
        <v>53</v>
      </c>
      <c r="N33" s="9" t="s">
        <v>54</v>
      </c>
      <c r="O33" s="9">
        <v>0</v>
      </c>
      <c r="P33" s="9" t="str">
        <f ca="1">IF(M33="Completed","Green",IF(TODAY()&gt;H33,"Red",IF(AND(TODAY()+14&gt;H33,O33&lt;0.75),"Amber","Green")))</f>
        <v>Green</v>
      </c>
      <c r="Q33" s="9"/>
    </row>
    <row r="34" spans="1:17">
      <c r="A34" s="9" t="s">
        <v>226</v>
      </c>
      <c r="B34" s="9" t="s">
        <v>14</v>
      </c>
      <c r="C34" s="9" t="s">
        <v>17</v>
      </c>
      <c r="D34" s="9" t="s">
        <v>227</v>
      </c>
      <c r="E34" s="9" t="s">
        <v>185</v>
      </c>
      <c r="F34" s="9" t="s">
        <v>186</v>
      </c>
      <c r="G34" s="9">
        <v>46268</v>
      </c>
      <c r="H34" s="9">
        <v>46292</v>
      </c>
      <c r="I34" s="9">
        <f>H34-G34+1</f>
        <v>25</v>
      </c>
      <c r="J34" s="9" t="s">
        <v>183</v>
      </c>
      <c r="K34" s="9" t="s">
        <v>228</v>
      </c>
      <c r="L34" s="9" t="s">
        <v>229</v>
      </c>
      <c r="M34" s="9" t="s">
        <v>53</v>
      </c>
      <c r="N34" s="9" t="s">
        <v>54</v>
      </c>
      <c r="O34" s="9">
        <v>0</v>
      </c>
      <c r="P34" s="9" t="str">
        <f ca="1">IF(M34="Completed","Green",IF(TODAY()&gt;H34,"Red",IF(AND(TODAY()+14&gt;H34,O34&lt;0.75),"Amber","Green")))</f>
        <v>Green</v>
      </c>
      <c r="Q34" s="9"/>
    </row>
    <row r="35" spans="1:17">
      <c r="A35" s="9" t="s">
        <v>230</v>
      </c>
      <c r="B35" s="9" t="s">
        <v>14</v>
      </c>
      <c r="C35" s="9" t="s">
        <v>17</v>
      </c>
      <c r="D35" s="9" t="s">
        <v>231</v>
      </c>
      <c r="E35" s="9" t="s">
        <v>165</v>
      </c>
      <c r="F35" s="9" t="s">
        <v>191</v>
      </c>
      <c r="G35" s="9">
        <v>46273</v>
      </c>
      <c r="H35" s="9">
        <v>46292</v>
      </c>
      <c r="I35" s="9">
        <f>H35-G35+1</f>
        <v>20</v>
      </c>
      <c r="J35" s="9" t="s">
        <v>232</v>
      </c>
      <c r="K35" s="9" t="s">
        <v>233</v>
      </c>
      <c r="L35" s="9" t="s">
        <v>234</v>
      </c>
      <c r="M35" s="9" t="s">
        <v>53</v>
      </c>
      <c r="N35" s="9" t="s">
        <v>54</v>
      </c>
      <c r="O35" s="9">
        <v>0</v>
      </c>
      <c r="P35" s="9" t="str">
        <f ca="1">IF(M35="Completed","Green",IF(TODAY()&gt;H35,"Red",IF(AND(TODAY()+14&gt;H35,O35&lt;0.75),"Amber","Green")))</f>
        <v>Green</v>
      </c>
      <c r="Q35" s="9"/>
    </row>
    <row r="36" spans="1:17">
      <c r="A36" s="9" t="s">
        <v>235</v>
      </c>
      <c r="B36" s="9" t="s">
        <v>14</v>
      </c>
      <c r="C36" s="9" t="s">
        <v>17</v>
      </c>
      <c r="D36" s="9" t="s">
        <v>236</v>
      </c>
      <c r="E36" s="9" t="s">
        <v>159</v>
      </c>
      <c r="F36" s="9" t="s">
        <v>160</v>
      </c>
      <c r="G36" s="9">
        <v>46278</v>
      </c>
      <c r="H36" s="9">
        <v>46292</v>
      </c>
      <c r="I36" s="9">
        <f>H36-G36+1</f>
        <v>15</v>
      </c>
      <c r="J36" s="9" t="s">
        <v>237</v>
      </c>
      <c r="K36" s="9" t="s">
        <v>238</v>
      </c>
      <c r="L36" s="9" t="s">
        <v>239</v>
      </c>
      <c r="M36" s="9" t="s">
        <v>53</v>
      </c>
      <c r="N36" s="9" t="s">
        <v>54</v>
      </c>
      <c r="O36" s="9">
        <v>0</v>
      </c>
      <c r="P36" s="9" t="str">
        <f ca="1">IF(M36="Completed","Green",IF(TODAY()&gt;H36,"Red",IF(AND(TODAY()+14&gt;H36,O36&lt;0.75),"Amber","Green")))</f>
        <v>Green</v>
      </c>
      <c r="Q36" s="9"/>
    </row>
    <row r="37" spans="1:17">
      <c r="A37" s="9" t="s">
        <v>240</v>
      </c>
      <c r="B37" s="9" t="s">
        <v>14</v>
      </c>
      <c r="C37" s="9" t="s">
        <v>19</v>
      </c>
      <c r="D37" s="9" t="s">
        <v>241</v>
      </c>
      <c r="E37" s="9" t="s">
        <v>201</v>
      </c>
      <c r="F37" s="9" t="s">
        <v>90</v>
      </c>
      <c r="G37" s="9">
        <v>46294</v>
      </c>
      <c r="H37" s="9">
        <v>46323</v>
      </c>
      <c r="I37" s="9">
        <f>H37-G37+1</f>
        <v>30</v>
      </c>
      <c r="J37" s="9" t="s">
        <v>242</v>
      </c>
      <c r="K37" s="9" t="s">
        <v>243</v>
      </c>
      <c r="L37" s="9" t="s">
        <v>244</v>
      </c>
      <c r="M37" s="9" t="s">
        <v>53</v>
      </c>
      <c r="N37" s="9" t="s">
        <v>54</v>
      </c>
      <c r="O37" s="9">
        <v>0</v>
      </c>
      <c r="P37" s="9" t="str">
        <f ca="1">IF(M37="Completed","Green",IF(TODAY()&gt;H37,"Red",IF(AND(TODAY()+14&gt;H37,O37&lt;0.75),"Amber","Green")))</f>
        <v>Green</v>
      </c>
      <c r="Q37" s="9"/>
    </row>
    <row r="38" spans="1:17">
      <c r="A38" s="9" t="s">
        <v>245</v>
      </c>
      <c r="B38" s="9" t="s">
        <v>14</v>
      </c>
      <c r="C38" s="9" t="s">
        <v>19</v>
      </c>
      <c r="D38" s="9" t="s">
        <v>246</v>
      </c>
      <c r="E38" s="9" t="s">
        <v>206</v>
      </c>
      <c r="F38" s="9" t="s">
        <v>180</v>
      </c>
      <c r="G38" s="9">
        <v>46303</v>
      </c>
      <c r="H38" s="9">
        <v>46332</v>
      </c>
      <c r="I38" s="9">
        <f>H38-G38+1</f>
        <v>30</v>
      </c>
      <c r="J38" s="9" t="s">
        <v>247</v>
      </c>
      <c r="K38" s="9" t="s">
        <v>248</v>
      </c>
      <c r="L38" s="9" t="s">
        <v>249</v>
      </c>
      <c r="M38" s="9" t="s">
        <v>53</v>
      </c>
      <c r="N38" s="9" t="s">
        <v>54</v>
      </c>
      <c r="O38" s="9">
        <v>0</v>
      </c>
      <c r="P38" s="9" t="str">
        <f ca="1">IF(M38="Completed","Green",IF(TODAY()&gt;H38,"Red",IF(AND(TODAY()+14&gt;H38,O38&lt;0.75),"Amber","Green")))</f>
        <v>Green</v>
      </c>
      <c r="Q38" s="9"/>
    </row>
    <row r="39" spans="1:17">
      <c r="A39" s="9" t="s">
        <v>250</v>
      </c>
      <c r="B39" s="9" t="s">
        <v>14</v>
      </c>
      <c r="C39" s="9" t="s">
        <v>19</v>
      </c>
      <c r="D39" s="9" t="s">
        <v>251</v>
      </c>
      <c r="E39" s="9" t="s">
        <v>165</v>
      </c>
      <c r="F39" s="9" t="s">
        <v>252</v>
      </c>
      <c r="G39" s="9">
        <v>46323</v>
      </c>
      <c r="H39" s="9">
        <v>46357</v>
      </c>
      <c r="I39" s="9">
        <f>H39-G39+1</f>
        <v>35</v>
      </c>
      <c r="J39" s="9" t="s">
        <v>253</v>
      </c>
      <c r="K39" s="9" t="s">
        <v>254</v>
      </c>
      <c r="L39" s="9" t="s">
        <v>255</v>
      </c>
      <c r="M39" s="9" t="s">
        <v>53</v>
      </c>
      <c r="N39" s="9" t="s">
        <v>54</v>
      </c>
      <c r="O39" s="9">
        <v>0</v>
      </c>
      <c r="P39" s="9" t="str">
        <f ca="1">IF(M39="Completed","Green",IF(TODAY()&gt;H39,"Red",IF(AND(TODAY()+14&gt;H39,O39&lt;0.75),"Amber","Green")))</f>
        <v>Green</v>
      </c>
      <c r="Q39" s="9"/>
    </row>
    <row r="40" spans="1:17">
      <c r="A40" s="9" t="s">
        <v>256</v>
      </c>
      <c r="B40" s="9" t="s">
        <v>14</v>
      </c>
      <c r="C40" s="9" t="s">
        <v>19</v>
      </c>
      <c r="D40" s="9" t="s">
        <v>257</v>
      </c>
      <c r="E40" s="9" t="s">
        <v>159</v>
      </c>
      <c r="F40" s="9" t="s">
        <v>258</v>
      </c>
      <c r="G40" s="9">
        <v>46333</v>
      </c>
      <c r="H40" s="9">
        <v>46362</v>
      </c>
      <c r="I40" s="9">
        <f>H40-G40+1</f>
        <v>30</v>
      </c>
      <c r="J40" s="9" t="s">
        <v>259</v>
      </c>
      <c r="K40" s="9" t="s">
        <v>260</v>
      </c>
      <c r="L40" s="9" t="s">
        <v>261</v>
      </c>
      <c r="M40" s="9" t="s">
        <v>53</v>
      </c>
      <c r="N40" s="9" t="s">
        <v>54</v>
      </c>
      <c r="O40" s="9">
        <v>0</v>
      </c>
      <c r="P40" s="9" t="str">
        <f ca="1">IF(M40="Completed","Green",IF(TODAY()&gt;H40,"Red",IF(AND(TODAY()+14&gt;H40,O40&lt;0.75),"Amber","Green")))</f>
        <v>Green</v>
      </c>
      <c r="Q40" s="9"/>
    </row>
    <row r="41" spans="1:17">
      <c r="A41" s="9" t="s">
        <v>262</v>
      </c>
      <c r="B41" s="9" t="s">
        <v>14</v>
      </c>
      <c r="C41" s="9" t="s">
        <v>19</v>
      </c>
      <c r="D41" s="9" t="s">
        <v>263</v>
      </c>
      <c r="E41" s="9" t="s">
        <v>159</v>
      </c>
      <c r="F41" s="9" t="s">
        <v>160</v>
      </c>
      <c r="G41" s="9">
        <v>46353</v>
      </c>
      <c r="H41" s="9">
        <v>46382</v>
      </c>
      <c r="I41" s="9">
        <f>H41-G41+1</f>
        <v>30</v>
      </c>
      <c r="J41" s="9" t="s">
        <v>264</v>
      </c>
      <c r="K41" s="9" t="s">
        <v>265</v>
      </c>
      <c r="L41" s="9" t="s">
        <v>266</v>
      </c>
      <c r="M41" s="9" t="s">
        <v>53</v>
      </c>
      <c r="N41" s="9" t="s">
        <v>54</v>
      </c>
      <c r="O41" s="9">
        <v>0</v>
      </c>
      <c r="P41" s="9" t="str">
        <f ca="1">IF(M41="Completed","Green",IF(TODAY()&gt;H41,"Red",IF(AND(TODAY()+14&gt;H41,O41&lt;0.75),"Amber","Green")))</f>
        <v>Green</v>
      </c>
      <c r="Q41" s="9"/>
    </row>
    <row r="42" spans="1:17">
      <c r="A42" s="9" t="s">
        <v>267</v>
      </c>
      <c r="B42" s="9" t="s">
        <v>16</v>
      </c>
      <c r="C42" s="9" t="s">
        <v>13</v>
      </c>
      <c r="D42" s="9" t="s">
        <v>268</v>
      </c>
      <c r="E42" s="9" t="s">
        <v>269</v>
      </c>
      <c r="F42" s="9" t="s">
        <v>270</v>
      </c>
      <c r="G42" s="9">
        <v>46204</v>
      </c>
      <c r="H42" s="9">
        <v>46208</v>
      </c>
      <c r="I42" s="9">
        <f>H42-G42+1</f>
        <v>5</v>
      </c>
      <c r="J42" s="9"/>
      <c r="K42" s="9" t="s">
        <v>271</v>
      </c>
      <c r="L42" s="9" t="s">
        <v>272</v>
      </c>
      <c r="M42" s="9" t="s">
        <v>53</v>
      </c>
      <c r="N42" s="9" t="s">
        <v>54</v>
      </c>
      <c r="O42" s="9">
        <v>0</v>
      </c>
      <c r="P42" s="9" t="str">
        <f ca="1">IF(M42="Completed","Green",IF(TODAY()&gt;H42,"Red",IF(AND(TODAY()+14&gt;H42,O42&lt;0.75),"Amber","Green")))</f>
        <v>Green</v>
      </c>
      <c r="Q42" s="9"/>
    </row>
    <row r="43" spans="1:17">
      <c r="A43" s="9" t="s">
        <v>273</v>
      </c>
      <c r="B43" s="9" t="s">
        <v>16</v>
      </c>
      <c r="C43" s="9" t="s">
        <v>13</v>
      </c>
      <c r="D43" s="9" t="s">
        <v>274</v>
      </c>
      <c r="E43" s="9" t="s">
        <v>275</v>
      </c>
      <c r="F43" s="9" t="s">
        <v>276</v>
      </c>
      <c r="G43" s="9">
        <v>46207</v>
      </c>
      <c r="H43" s="9">
        <v>46216</v>
      </c>
      <c r="I43" s="9">
        <f>H43-G43+1</f>
        <v>10</v>
      </c>
      <c r="J43" s="9" t="s">
        <v>267</v>
      </c>
      <c r="K43" s="9" t="s">
        <v>277</v>
      </c>
      <c r="L43" s="9" t="s">
        <v>278</v>
      </c>
      <c r="M43" s="9" t="s">
        <v>53</v>
      </c>
      <c r="N43" s="9" t="s">
        <v>54</v>
      </c>
      <c r="O43" s="9">
        <v>0</v>
      </c>
      <c r="P43" s="9" t="str">
        <f ca="1">IF(M43="Completed","Green",IF(TODAY()&gt;H43,"Red",IF(AND(TODAY()+14&gt;H43,O43&lt;0.75),"Amber","Green")))</f>
        <v>Green</v>
      </c>
      <c r="Q43" s="9"/>
    </row>
    <row r="44" spans="1:17">
      <c r="A44" s="9" t="s">
        <v>279</v>
      </c>
      <c r="B44" s="9" t="s">
        <v>16</v>
      </c>
      <c r="C44" s="9" t="s">
        <v>13</v>
      </c>
      <c r="D44" s="9" t="s">
        <v>280</v>
      </c>
      <c r="E44" s="9" t="s">
        <v>281</v>
      </c>
      <c r="F44" s="9" t="s">
        <v>83</v>
      </c>
      <c r="G44" s="9">
        <v>46211</v>
      </c>
      <c r="H44" s="9">
        <v>46222</v>
      </c>
      <c r="I44" s="9">
        <f>H44-G44+1</f>
        <v>12</v>
      </c>
      <c r="J44" s="9" t="s">
        <v>267</v>
      </c>
      <c r="K44" s="9" t="s">
        <v>282</v>
      </c>
      <c r="L44" s="9" t="s">
        <v>283</v>
      </c>
      <c r="M44" s="9" t="s">
        <v>53</v>
      </c>
      <c r="N44" s="9" t="s">
        <v>54</v>
      </c>
      <c r="O44" s="9">
        <v>0</v>
      </c>
      <c r="P44" s="9" t="str">
        <f ca="1">IF(M44="Completed","Green",IF(TODAY()&gt;H44,"Red",IF(AND(TODAY()+14&gt;H44,O44&lt;0.75),"Amber","Green")))</f>
        <v>Green</v>
      </c>
      <c r="Q44" s="9"/>
    </row>
    <row r="45" spans="1:17">
      <c r="A45" s="9" t="s">
        <v>284</v>
      </c>
      <c r="B45" s="9" t="s">
        <v>16</v>
      </c>
      <c r="C45" s="9" t="s">
        <v>13</v>
      </c>
      <c r="D45" s="9" t="s">
        <v>285</v>
      </c>
      <c r="E45" s="9" t="s">
        <v>286</v>
      </c>
      <c r="F45" s="9" t="s">
        <v>83</v>
      </c>
      <c r="G45" s="9">
        <v>46215</v>
      </c>
      <c r="H45" s="9">
        <v>46226</v>
      </c>
      <c r="I45" s="9">
        <f>H45-G45+1</f>
        <v>12</v>
      </c>
      <c r="J45" s="9" t="s">
        <v>287</v>
      </c>
      <c r="K45" s="9" t="s">
        <v>288</v>
      </c>
      <c r="L45" s="9" t="s">
        <v>289</v>
      </c>
      <c r="M45" s="9" t="s">
        <v>53</v>
      </c>
      <c r="N45" s="9" t="s">
        <v>54</v>
      </c>
      <c r="O45" s="9">
        <v>0</v>
      </c>
      <c r="P45" s="9" t="str">
        <f ca="1">IF(M45="Completed","Green",IF(TODAY()&gt;H45,"Red",IF(AND(TODAY()+14&gt;H45,O45&lt;0.75),"Amber","Green")))</f>
        <v>Green</v>
      </c>
      <c r="Q45" s="9"/>
    </row>
    <row r="46" spans="1:17">
      <c r="A46" s="9" t="s">
        <v>290</v>
      </c>
      <c r="B46" s="9" t="s">
        <v>16</v>
      </c>
      <c r="C46" s="9" t="s">
        <v>13</v>
      </c>
      <c r="D46" s="9" t="s">
        <v>291</v>
      </c>
      <c r="E46" s="9" t="s">
        <v>292</v>
      </c>
      <c r="F46" s="9" t="s">
        <v>293</v>
      </c>
      <c r="G46" s="9">
        <v>46218</v>
      </c>
      <c r="H46" s="9">
        <v>46232</v>
      </c>
      <c r="I46" s="9">
        <f>H46-G46+1</f>
        <v>15</v>
      </c>
      <c r="J46" s="9" t="s">
        <v>273</v>
      </c>
      <c r="K46" s="9" t="s">
        <v>294</v>
      </c>
      <c r="L46" s="9" t="s">
        <v>295</v>
      </c>
      <c r="M46" s="9" t="s">
        <v>53</v>
      </c>
      <c r="N46" s="9" t="s">
        <v>54</v>
      </c>
      <c r="O46" s="9">
        <v>0</v>
      </c>
      <c r="P46" s="9" t="str">
        <f ca="1">IF(M46="Completed","Green",IF(TODAY()&gt;H46,"Red",IF(AND(TODAY()+14&gt;H46,O46&lt;0.75),"Amber","Green")))</f>
        <v>Green</v>
      </c>
      <c r="Q46" s="9"/>
    </row>
    <row r="47" spans="1:17">
      <c r="A47" s="9" t="s">
        <v>296</v>
      </c>
      <c r="B47" s="9" t="s">
        <v>16</v>
      </c>
      <c r="C47" s="9" t="s">
        <v>13</v>
      </c>
      <c r="D47" s="9" t="s">
        <v>297</v>
      </c>
      <c r="E47" s="9" t="s">
        <v>298</v>
      </c>
      <c r="F47" s="9" t="s">
        <v>95</v>
      </c>
      <c r="G47" s="9">
        <v>46223</v>
      </c>
      <c r="H47" s="9">
        <v>46232</v>
      </c>
      <c r="I47" s="9">
        <f>H47-G47+1</f>
        <v>10</v>
      </c>
      <c r="J47" s="9" t="s">
        <v>299</v>
      </c>
      <c r="K47" s="9" t="s">
        <v>300</v>
      </c>
      <c r="L47" s="9" t="s">
        <v>301</v>
      </c>
      <c r="M47" s="9" t="s">
        <v>53</v>
      </c>
      <c r="N47" s="9" t="s">
        <v>54</v>
      </c>
      <c r="O47" s="9">
        <v>0</v>
      </c>
      <c r="P47" s="9" t="str">
        <f ca="1">IF(M47="Completed","Green",IF(TODAY()&gt;H47,"Red",IF(AND(TODAY()+14&gt;H47,O47&lt;0.75),"Amber","Green")))</f>
        <v>Green</v>
      </c>
      <c r="Q47" s="9"/>
    </row>
    <row r="48" spans="1:17">
      <c r="A48" s="9" t="s">
        <v>302</v>
      </c>
      <c r="B48" s="9" t="s">
        <v>16</v>
      </c>
      <c r="C48" s="9" t="s">
        <v>13</v>
      </c>
      <c r="D48" s="9" t="s">
        <v>303</v>
      </c>
      <c r="E48" s="9" t="s">
        <v>304</v>
      </c>
      <c r="F48" s="9" t="s">
        <v>305</v>
      </c>
      <c r="G48" s="9">
        <v>46228</v>
      </c>
      <c r="H48" s="9">
        <v>46242</v>
      </c>
      <c r="I48" s="9">
        <f>H48-G48+1</f>
        <v>15</v>
      </c>
      <c r="J48" s="9" t="s">
        <v>299</v>
      </c>
      <c r="K48" s="9" t="s">
        <v>306</v>
      </c>
      <c r="L48" s="9" t="s">
        <v>307</v>
      </c>
      <c r="M48" s="9" t="s">
        <v>53</v>
      </c>
      <c r="N48" s="9" t="s">
        <v>54</v>
      </c>
      <c r="O48" s="9">
        <v>0</v>
      </c>
      <c r="P48" s="9" t="str">
        <f ca="1">IF(M48="Completed","Green",IF(TODAY()&gt;H48,"Red",IF(AND(TODAY()+14&gt;H48,O48&lt;0.75),"Amber","Green")))</f>
        <v>Green</v>
      </c>
      <c r="Q48" s="9"/>
    </row>
    <row r="49" spans="1:17">
      <c r="A49" s="9" t="s">
        <v>308</v>
      </c>
      <c r="B49" s="9" t="s">
        <v>16</v>
      </c>
      <c r="C49" s="9" t="s">
        <v>15</v>
      </c>
      <c r="D49" s="9" t="s">
        <v>309</v>
      </c>
      <c r="E49" s="9" t="s">
        <v>298</v>
      </c>
      <c r="F49" s="9" t="s">
        <v>95</v>
      </c>
      <c r="G49" s="9">
        <v>46234</v>
      </c>
      <c r="H49" s="9">
        <v>46253</v>
      </c>
      <c r="I49" s="9">
        <f>H49-G49+1</f>
        <v>20</v>
      </c>
      <c r="J49" s="9" t="s">
        <v>310</v>
      </c>
      <c r="K49" s="9" t="s">
        <v>311</v>
      </c>
      <c r="L49" s="9" t="s">
        <v>312</v>
      </c>
      <c r="M49" s="9" t="s">
        <v>53</v>
      </c>
      <c r="N49" s="9" t="s">
        <v>54</v>
      </c>
      <c r="O49" s="9">
        <v>0</v>
      </c>
      <c r="P49" s="9" t="str">
        <f ca="1">IF(M49="Completed","Green",IF(TODAY()&gt;H49,"Red",IF(AND(TODAY()+14&gt;H49,O49&lt;0.75),"Amber","Green")))</f>
        <v>Green</v>
      </c>
      <c r="Q49" s="9"/>
    </row>
    <row r="50" spans="1:17">
      <c r="A50" s="9" t="s">
        <v>313</v>
      </c>
      <c r="B50" s="9" t="s">
        <v>16</v>
      </c>
      <c r="C50" s="9" t="s">
        <v>15</v>
      </c>
      <c r="D50" s="9" t="s">
        <v>314</v>
      </c>
      <c r="E50" s="9" t="s">
        <v>315</v>
      </c>
      <c r="F50" s="9" t="s">
        <v>76</v>
      </c>
      <c r="G50" s="9">
        <v>46238</v>
      </c>
      <c r="H50" s="9">
        <v>46257</v>
      </c>
      <c r="I50" s="9">
        <f>H50-G50+1</f>
        <v>20</v>
      </c>
      <c r="J50" s="9" t="s">
        <v>316</v>
      </c>
      <c r="K50" s="9" t="s">
        <v>317</v>
      </c>
      <c r="L50" s="9" t="s">
        <v>318</v>
      </c>
      <c r="M50" s="9" t="s">
        <v>53</v>
      </c>
      <c r="N50" s="9" t="s">
        <v>54</v>
      </c>
      <c r="O50" s="9">
        <v>0</v>
      </c>
      <c r="P50" s="9" t="str">
        <f ca="1">IF(M50="Completed","Green",IF(TODAY()&gt;H50,"Red",IF(AND(TODAY()+14&gt;H50,O50&lt;0.75),"Amber","Green")))</f>
        <v>Green</v>
      </c>
      <c r="Q50" s="9"/>
    </row>
    <row r="51" spans="1:17">
      <c r="A51" s="9" t="s">
        <v>319</v>
      </c>
      <c r="B51" s="9" t="s">
        <v>16</v>
      </c>
      <c r="C51" s="9" t="s">
        <v>15</v>
      </c>
      <c r="D51" s="9" t="s">
        <v>320</v>
      </c>
      <c r="E51" s="9" t="s">
        <v>321</v>
      </c>
      <c r="F51" s="9" t="s">
        <v>322</v>
      </c>
      <c r="G51" s="9">
        <v>46248</v>
      </c>
      <c r="H51" s="9">
        <v>46262</v>
      </c>
      <c r="I51" s="9">
        <f>H51-G51+1</f>
        <v>15</v>
      </c>
      <c r="J51" s="9" t="s">
        <v>323</v>
      </c>
      <c r="K51" s="9" t="s">
        <v>324</v>
      </c>
      <c r="L51" s="9" t="s">
        <v>325</v>
      </c>
      <c r="M51" s="9" t="s">
        <v>53</v>
      </c>
      <c r="N51" s="9" t="s">
        <v>54</v>
      </c>
      <c r="O51" s="9">
        <v>0</v>
      </c>
      <c r="P51" s="9" t="str">
        <f ca="1">IF(M51="Completed","Green",IF(TODAY()&gt;H51,"Red",IF(AND(TODAY()+14&gt;H51,O51&lt;0.75),"Amber","Green")))</f>
        <v>Green</v>
      </c>
      <c r="Q51" s="9"/>
    </row>
    <row r="52" spans="1:17">
      <c r="A52" s="9" t="s">
        <v>326</v>
      </c>
      <c r="B52" s="9" t="s">
        <v>16</v>
      </c>
      <c r="C52" s="9" t="s">
        <v>17</v>
      </c>
      <c r="D52" s="9" t="s">
        <v>327</v>
      </c>
      <c r="E52" s="9" t="s">
        <v>292</v>
      </c>
      <c r="F52" s="9" t="s">
        <v>293</v>
      </c>
      <c r="G52" s="9">
        <v>46264</v>
      </c>
      <c r="H52" s="9">
        <v>46283</v>
      </c>
      <c r="I52" s="9">
        <f>H52-G52+1</f>
        <v>20</v>
      </c>
      <c r="J52" s="9" t="s">
        <v>323</v>
      </c>
      <c r="K52" s="9" t="s">
        <v>328</v>
      </c>
      <c r="L52" s="9" t="s">
        <v>329</v>
      </c>
      <c r="M52" s="9" t="s">
        <v>53</v>
      </c>
      <c r="N52" s="9" t="s">
        <v>54</v>
      </c>
      <c r="O52" s="9">
        <v>0</v>
      </c>
      <c r="P52" s="9" t="str">
        <f ca="1">IF(M52="Completed","Green",IF(TODAY()&gt;H52,"Red",IF(AND(TODAY()+14&gt;H52,O52&lt;0.75),"Amber","Green")))</f>
        <v>Green</v>
      </c>
      <c r="Q52" s="9"/>
    </row>
    <row r="53" spans="1:17">
      <c r="A53" s="9" t="s">
        <v>330</v>
      </c>
      <c r="B53" s="9" t="s">
        <v>16</v>
      </c>
      <c r="C53" s="9" t="s">
        <v>17</v>
      </c>
      <c r="D53" s="9" t="s">
        <v>331</v>
      </c>
      <c r="E53" s="9" t="s">
        <v>298</v>
      </c>
      <c r="F53" s="9" t="s">
        <v>65</v>
      </c>
      <c r="G53" s="9">
        <v>46268</v>
      </c>
      <c r="H53" s="9">
        <v>46292</v>
      </c>
      <c r="I53" s="9">
        <f>H53-G53+1</f>
        <v>25</v>
      </c>
      <c r="J53" s="9" t="s">
        <v>326</v>
      </c>
      <c r="K53" s="9" t="s">
        <v>332</v>
      </c>
      <c r="L53" s="9" t="s">
        <v>333</v>
      </c>
      <c r="M53" s="9" t="s">
        <v>53</v>
      </c>
      <c r="N53" s="9" t="s">
        <v>54</v>
      </c>
      <c r="O53" s="9">
        <v>0</v>
      </c>
      <c r="P53" s="9" t="str">
        <f ca="1">IF(M53="Completed","Green",IF(TODAY()&gt;H53,"Red",IF(AND(TODAY()+14&gt;H53,O53&lt;0.75),"Amber","Green")))</f>
        <v>Green</v>
      </c>
      <c r="Q53" s="9"/>
    </row>
    <row r="54" spans="1:17">
      <c r="A54" s="9" t="s">
        <v>334</v>
      </c>
      <c r="B54" s="9" t="s">
        <v>16</v>
      </c>
      <c r="C54" s="9" t="s">
        <v>17</v>
      </c>
      <c r="D54" s="9" t="s">
        <v>335</v>
      </c>
      <c r="E54" s="9" t="s">
        <v>304</v>
      </c>
      <c r="F54" s="9" t="s">
        <v>305</v>
      </c>
      <c r="G54" s="9">
        <v>46273</v>
      </c>
      <c r="H54" s="9">
        <v>46292</v>
      </c>
      <c r="I54" s="9">
        <f>H54-G54+1</f>
        <v>20</v>
      </c>
      <c r="J54" s="9" t="s">
        <v>336</v>
      </c>
      <c r="K54" s="9" t="s">
        <v>337</v>
      </c>
      <c r="L54" s="9" t="s">
        <v>338</v>
      </c>
      <c r="M54" s="9" t="s">
        <v>53</v>
      </c>
      <c r="N54" s="9" t="s">
        <v>54</v>
      </c>
      <c r="O54" s="9">
        <v>0</v>
      </c>
      <c r="P54" s="9" t="str">
        <f ca="1">IF(M54="Completed","Green",IF(TODAY()&gt;H54,"Red",IF(AND(TODAY()+14&gt;H54,O54&lt;0.75),"Amber","Green")))</f>
        <v>Green</v>
      </c>
      <c r="Q54" s="9"/>
    </row>
    <row r="55" spans="1:17">
      <c r="A55" s="9" t="s">
        <v>339</v>
      </c>
      <c r="B55" s="9" t="s">
        <v>16</v>
      </c>
      <c r="C55" s="9" t="s">
        <v>17</v>
      </c>
      <c r="D55" s="9" t="s">
        <v>340</v>
      </c>
      <c r="E55" s="9" t="s">
        <v>321</v>
      </c>
      <c r="F55" s="9" t="s">
        <v>341</v>
      </c>
      <c r="G55" s="9">
        <v>46278</v>
      </c>
      <c r="H55" s="9">
        <v>46297</v>
      </c>
      <c r="I55" s="9">
        <f>H55-G55+1</f>
        <v>20</v>
      </c>
      <c r="J55" s="9" t="s">
        <v>342</v>
      </c>
      <c r="K55" s="9" t="s">
        <v>343</v>
      </c>
      <c r="L55" s="9" t="s">
        <v>344</v>
      </c>
      <c r="M55" s="9" t="s">
        <v>53</v>
      </c>
      <c r="N55" s="9" t="s">
        <v>54</v>
      </c>
      <c r="O55" s="9">
        <v>0</v>
      </c>
      <c r="P55" s="9" t="str">
        <f ca="1">IF(M55="Completed","Green",IF(TODAY()&gt;H55,"Red",IF(AND(TODAY()+14&gt;H55,O55&lt;0.75),"Amber","Green")))</f>
        <v>Green</v>
      </c>
      <c r="Q55" s="9"/>
    </row>
    <row r="56" spans="1:17">
      <c r="A56" s="9" t="s">
        <v>345</v>
      </c>
      <c r="B56" s="9" t="s">
        <v>16</v>
      </c>
      <c r="C56" s="9" t="s">
        <v>19</v>
      </c>
      <c r="D56" s="9" t="s">
        <v>346</v>
      </c>
      <c r="E56" s="9" t="s">
        <v>298</v>
      </c>
      <c r="F56" s="9" t="s">
        <v>95</v>
      </c>
      <c r="G56" s="9">
        <v>46294</v>
      </c>
      <c r="H56" s="9">
        <v>46323</v>
      </c>
      <c r="I56" s="9">
        <f>H56-G56+1</f>
        <v>30</v>
      </c>
      <c r="J56" s="9" t="s">
        <v>347</v>
      </c>
      <c r="K56" s="9" t="s">
        <v>348</v>
      </c>
      <c r="L56" s="9" t="s">
        <v>349</v>
      </c>
      <c r="M56" s="9" t="s">
        <v>53</v>
      </c>
      <c r="N56" s="9" t="s">
        <v>54</v>
      </c>
      <c r="O56" s="9">
        <v>0</v>
      </c>
      <c r="P56" s="9" t="str">
        <f ca="1">IF(M56="Completed","Green",IF(TODAY()&gt;H56,"Red",IF(AND(TODAY()+14&gt;H56,O56&lt;0.75),"Amber","Green")))</f>
        <v>Green</v>
      </c>
      <c r="Q56" s="9"/>
    </row>
    <row r="57" spans="1:17">
      <c r="A57" s="9" t="s">
        <v>350</v>
      </c>
      <c r="B57" s="9" t="s">
        <v>16</v>
      </c>
      <c r="C57" s="9" t="s">
        <v>19</v>
      </c>
      <c r="D57" s="9" t="s">
        <v>351</v>
      </c>
      <c r="E57" s="9" t="s">
        <v>292</v>
      </c>
      <c r="F57" s="9" t="s">
        <v>276</v>
      </c>
      <c r="G57" s="9">
        <v>46303</v>
      </c>
      <c r="H57" s="9">
        <v>46332</v>
      </c>
      <c r="I57" s="9">
        <f>H57-G57+1</f>
        <v>30</v>
      </c>
      <c r="J57" s="9" t="s">
        <v>330</v>
      </c>
      <c r="K57" s="9" t="s">
        <v>352</v>
      </c>
      <c r="L57" s="9" t="s">
        <v>353</v>
      </c>
      <c r="M57" s="9" t="s">
        <v>53</v>
      </c>
      <c r="N57" s="9" t="s">
        <v>54</v>
      </c>
      <c r="O57" s="9">
        <v>0</v>
      </c>
      <c r="P57" s="9" t="str">
        <f ca="1">IF(M57="Completed","Green",IF(TODAY()&gt;H57,"Red",IF(AND(TODAY()+14&gt;H57,O57&lt;0.75),"Amber","Green")))</f>
        <v>Green</v>
      </c>
      <c r="Q57" s="9"/>
    </row>
    <row r="58" spans="1:17">
      <c r="A58" s="9" t="s">
        <v>354</v>
      </c>
      <c r="B58" s="9" t="s">
        <v>16</v>
      </c>
      <c r="C58" s="9" t="s">
        <v>19</v>
      </c>
      <c r="D58" s="9" t="s">
        <v>355</v>
      </c>
      <c r="E58" s="9" t="s">
        <v>304</v>
      </c>
      <c r="F58" s="9" t="s">
        <v>95</v>
      </c>
      <c r="G58" s="9">
        <v>46313</v>
      </c>
      <c r="H58" s="9">
        <v>46347</v>
      </c>
      <c r="I58" s="9">
        <f>H58-G58+1</f>
        <v>35</v>
      </c>
      <c r="J58" s="9" t="s">
        <v>356</v>
      </c>
      <c r="K58" s="9" t="s">
        <v>357</v>
      </c>
      <c r="L58" s="9" t="s">
        <v>358</v>
      </c>
      <c r="M58" s="9" t="s">
        <v>53</v>
      </c>
      <c r="N58" s="9" t="s">
        <v>54</v>
      </c>
      <c r="O58" s="9">
        <v>0</v>
      </c>
      <c r="P58" s="9" t="str">
        <f ca="1">IF(M58="Completed","Green",IF(TODAY()&gt;H58,"Red",IF(AND(TODAY()+14&gt;H58,O58&lt;0.75),"Amber","Green")))</f>
        <v>Green</v>
      </c>
      <c r="Q58" s="9"/>
    </row>
    <row r="59" spans="1:17">
      <c r="A59" s="9" t="s">
        <v>359</v>
      </c>
      <c r="B59" s="9" t="s">
        <v>16</v>
      </c>
      <c r="C59" s="9" t="s">
        <v>19</v>
      </c>
      <c r="D59" s="9" t="s">
        <v>360</v>
      </c>
      <c r="E59" s="9" t="s">
        <v>321</v>
      </c>
      <c r="F59" s="9" t="s">
        <v>95</v>
      </c>
      <c r="G59" s="9">
        <v>46328</v>
      </c>
      <c r="H59" s="9">
        <v>46362</v>
      </c>
      <c r="I59" s="9">
        <f>H59-G59+1</f>
        <v>35</v>
      </c>
      <c r="J59" s="9" t="s">
        <v>361</v>
      </c>
      <c r="K59" s="9" t="s">
        <v>362</v>
      </c>
      <c r="L59" s="9" t="s">
        <v>363</v>
      </c>
      <c r="M59" s="9" t="s">
        <v>53</v>
      </c>
      <c r="N59" s="9" t="s">
        <v>54</v>
      </c>
      <c r="O59" s="9">
        <v>0</v>
      </c>
      <c r="P59" s="9" t="str">
        <f ca="1">IF(M59="Completed","Green",IF(TODAY()&gt;H59,"Red",IF(AND(TODAY()+14&gt;H59,O59&lt;0.75),"Amber","Green")))</f>
        <v>Green</v>
      </c>
      <c r="Q59" s="9"/>
    </row>
    <row r="60" spans="1:17">
      <c r="A60" s="9" t="s">
        <v>364</v>
      </c>
      <c r="B60" s="9" t="s">
        <v>16</v>
      </c>
      <c r="C60" s="9" t="s">
        <v>19</v>
      </c>
      <c r="D60" s="9" t="s">
        <v>365</v>
      </c>
      <c r="E60" s="9" t="s">
        <v>269</v>
      </c>
      <c r="F60" s="9" t="s">
        <v>366</v>
      </c>
      <c r="G60" s="9">
        <v>46348</v>
      </c>
      <c r="H60" s="9">
        <v>46372</v>
      </c>
      <c r="I60" s="9">
        <f>H60-G60+1</f>
        <v>25</v>
      </c>
      <c r="J60" s="9" t="s">
        <v>367</v>
      </c>
      <c r="K60" s="9" t="s">
        <v>368</v>
      </c>
      <c r="L60" s="9" t="s">
        <v>369</v>
      </c>
      <c r="M60" s="9" t="s">
        <v>53</v>
      </c>
      <c r="N60" s="9" t="s">
        <v>54</v>
      </c>
      <c r="O60" s="9">
        <v>0</v>
      </c>
      <c r="P60" s="9" t="str">
        <f ca="1">IF(M60="Completed","Green",IF(TODAY()&gt;H60,"Red",IF(AND(TODAY()+14&gt;H60,O60&lt;0.75),"Amber","Green")))</f>
        <v>Green</v>
      </c>
      <c r="Q60" s="9"/>
    </row>
    <row r="61" spans="1:17">
      <c r="A61" s="9" t="s">
        <v>370</v>
      </c>
      <c r="B61" s="9" t="s">
        <v>16</v>
      </c>
      <c r="C61" s="9" t="s">
        <v>19</v>
      </c>
      <c r="D61" s="9" t="s">
        <v>371</v>
      </c>
      <c r="E61" s="9" t="s">
        <v>269</v>
      </c>
      <c r="F61" s="9" t="s">
        <v>50</v>
      </c>
      <c r="G61" s="9">
        <v>46363</v>
      </c>
      <c r="H61" s="9">
        <v>46382</v>
      </c>
      <c r="I61" s="9">
        <f>H61-G61+1</f>
        <v>20</v>
      </c>
      <c r="J61" s="9" t="s">
        <v>372</v>
      </c>
      <c r="K61" s="9" t="s">
        <v>373</v>
      </c>
      <c r="L61" s="9" t="s">
        <v>374</v>
      </c>
      <c r="M61" s="9" t="s">
        <v>53</v>
      </c>
      <c r="N61" s="9" t="s">
        <v>54</v>
      </c>
      <c r="O61" s="9">
        <v>0</v>
      </c>
      <c r="P61" s="9" t="str">
        <f ca="1">IF(M61="Completed","Green",IF(TODAY()&gt;H61,"Red",IF(AND(TODAY()+14&gt;H61,O61&lt;0.75),"Amber","Green")))</f>
        <v>Green</v>
      </c>
      <c r="Q61" s="9"/>
    </row>
    <row r="62" spans="1:17">
      <c r="A62" s="9" t="s">
        <v>375</v>
      </c>
      <c r="B62" s="9" t="s">
        <v>18</v>
      </c>
      <c r="C62" s="9" t="s">
        <v>13</v>
      </c>
      <c r="D62" s="9" t="s">
        <v>376</v>
      </c>
      <c r="E62" s="9" t="s">
        <v>377</v>
      </c>
      <c r="F62" s="9" t="s">
        <v>378</v>
      </c>
      <c r="G62" s="9">
        <v>46204</v>
      </c>
      <c r="H62" s="9">
        <v>46208</v>
      </c>
      <c r="I62" s="9">
        <f>H62-G62+1</f>
        <v>5</v>
      </c>
      <c r="J62" s="9"/>
      <c r="K62" s="9" t="s">
        <v>379</v>
      </c>
      <c r="L62" s="9" t="s">
        <v>380</v>
      </c>
      <c r="M62" s="9" t="s">
        <v>53</v>
      </c>
      <c r="N62" s="9" t="s">
        <v>54</v>
      </c>
      <c r="O62" s="9">
        <v>0</v>
      </c>
      <c r="P62" s="9" t="str">
        <f ca="1">IF(M62="Completed","Green",IF(TODAY()&gt;H62,"Red",IF(AND(TODAY()+14&gt;H62,O62&lt;0.75),"Amber","Green")))</f>
        <v>Green</v>
      </c>
      <c r="Q62" s="9"/>
    </row>
    <row r="63" spans="1:17">
      <c r="A63" s="9" t="s">
        <v>381</v>
      </c>
      <c r="B63" s="9" t="s">
        <v>18</v>
      </c>
      <c r="C63" s="9" t="s">
        <v>13</v>
      </c>
      <c r="D63" s="9" t="s">
        <v>382</v>
      </c>
      <c r="E63" s="9" t="s">
        <v>383</v>
      </c>
      <c r="F63" s="9" t="s">
        <v>270</v>
      </c>
      <c r="G63" s="9">
        <v>46206</v>
      </c>
      <c r="H63" s="9">
        <v>46213</v>
      </c>
      <c r="I63" s="9">
        <f>H63-G63+1</f>
        <v>8</v>
      </c>
      <c r="J63" s="9" t="s">
        <v>375</v>
      </c>
      <c r="K63" s="9" t="s">
        <v>384</v>
      </c>
      <c r="L63" s="9" t="s">
        <v>385</v>
      </c>
      <c r="M63" s="9" t="s">
        <v>53</v>
      </c>
      <c r="N63" s="9" t="s">
        <v>54</v>
      </c>
      <c r="O63" s="9">
        <v>0</v>
      </c>
      <c r="P63" s="9" t="str">
        <f ca="1">IF(M63="Completed","Green",IF(TODAY()&gt;H63,"Red",IF(AND(TODAY()+14&gt;H63,O63&lt;0.75),"Amber","Green")))</f>
        <v>Green</v>
      </c>
      <c r="Q63" s="9"/>
    </row>
    <row r="64" spans="1:17">
      <c r="A64" s="9" t="s">
        <v>386</v>
      </c>
      <c r="B64" s="9" t="s">
        <v>18</v>
      </c>
      <c r="C64" s="9" t="s">
        <v>13</v>
      </c>
      <c r="D64" s="9" t="s">
        <v>387</v>
      </c>
      <c r="E64" s="9" t="s">
        <v>388</v>
      </c>
      <c r="F64" s="9" t="s">
        <v>389</v>
      </c>
      <c r="G64" s="9">
        <v>46208</v>
      </c>
      <c r="H64" s="9">
        <v>46217</v>
      </c>
      <c r="I64" s="9">
        <f>H64-G64+1</f>
        <v>10</v>
      </c>
      <c r="J64" s="9" t="s">
        <v>381</v>
      </c>
      <c r="K64" s="9" t="s">
        <v>390</v>
      </c>
      <c r="L64" s="9" t="s">
        <v>391</v>
      </c>
      <c r="M64" s="9" t="s">
        <v>53</v>
      </c>
      <c r="N64" s="9" t="s">
        <v>54</v>
      </c>
      <c r="O64" s="9">
        <v>0</v>
      </c>
      <c r="P64" s="9" t="str">
        <f ca="1">IF(M64="Completed","Green",IF(TODAY()&gt;H64,"Red",IF(AND(TODAY()+14&gt;H64,O64&lt;0.75),"Amber","Green")))</f>
        <v>Green</v>
      </c>
      <c r="Q64" s="9"/>
    </row>
    <row r="65" spans="1:17">
      <c r="A65" s="9" t="s">
        <v>392</v>
      </c>
      <c r="B65" s="9" t="s">
        <v>18</v>
      </c>
      <c r="C65" s="9" t="s">
        <v>13</v>
      </c>
      <c r="D65" s="9" t="s">
        <v>393</v>
      </c>
      <c r="E65" s="9" t="s">
        <v>394</v>
      </c>
      <c r="F65" s="9" t="s">
        <v>186</v>
      </c>
      <c r="G65" s="9">
        <v>46211</v>
      </c>
      <c r="H65" s="9">
        <v>46220</v>
      </c>
      <c r="I65" s="9">
        <f>H65-G65+1</f>
        <v>10</v>
      </c>
      <c r="J65" s="9" t="s">
        <v>381</v>
      </c>
      <c r="K65" s="9" t="s">
        <v>395</v>
      </c>
      <c r="L65" s="9" t="s">
        <v>396</v>
      </c>
      <c r="M65" s="9" t="s">
        <v>53</v>
      </c>
      <c r="N65" s="9" t="s">
        <v>54</v>
      </c>
      <c r="O65" s="9">
        <v>0</v>
      </c>
      <c r="P65" s="9" t="str">
        <f ca="1">IF(M65="Completed","Green",IF(TODAY()&gt;H65,"Red",IF(AND(TODAY()+14&gt;H65,O65&lt;0.75),"Amber","Green")))</f>
        <v>Green</v>
      </c>
      <c r="Q65" s="9"/>
    </row>
    <row r="66" spans="1:17">
      <c r="A66" s="9" t="s">
        <v>397</v>
      </c>
      <c r="B66" s="9" t="s">
        <v>18</v>
      </c>
      <c r="C66" s="9" t="s">
        <v>13</v>
      </c>
      <c r="D66" s="9" t="s">
        <v>398</v>
      </c>
      <c r="E66" s="9" t="s">
        <v>394</v>
      </c>
      <c r="F66" s="9" t="s">
        <v>399</v>
      </c>
      <c r="G66" s="9">
        <v>46213</v>
      </c>
      <c r="H66" s="9">
        <v>46227</v>
      </c>
      <c r="I66" s="9">
        <f>H66-G66+1</f>
        <v>15</v>
      </c>
      <c r="J66" s="9" t="s">
        <v>392</v>
      </c>
      <c r="K66" s="9" t="s">
        <v>400</v>
      </c>
      <c r="L66" s="9" t="s">
        <v>401</v>
      </c>
      <c r="M66" s="9" t="s">
        <v>53</v>
      </c>
      <c r="N66" s="9" t="s">
        <v>54</v>
      </c>
      <c r="O66" s="9">
        <v>0</v>
      </c>
      <c r="P66" s="9" t="str">
        <f ca="1">IF(M66="Completed","Green",IF(TODAY()&gt;H66,"Red",IF(AND(TODAY()+14&gt;H66,O66&lt;0.75),"Amber","Green")))</f>
        <v>Green</v>
      </c>
      <c r="Q66" s="9"/>
    </row>
    <row r="67" spans="1:17">
      <c r="A67" s="9" t="s">
        <v>402</v>
      </c>
      <c r="B67" s="9" t="s">
        <v>18</v>
      </c>
      <c r="C67" s="9" t="s">
        <v>13</v>
      </c>
      <c r="D67" s="9" t="s">
        <v>403</v>
      </c>
      <c r="E67" s="9" t="s">
        <v>377</v>
      </c>
      <c r="F67" s="9" t="s">
        <v>404</v>
      </c>
      <c r="G67" s="9">
        <v>46218</v>
      </c>
      <c r="H67" s="9">
        <v>46229</v>
      </c>
      <c r="I67" s="9">
        <f>H67-G67+1</f>
        <v>12</v>
      </c>
      <c r="J67" s="9" t="s">
        <v>405</v>
      </c>
      <c r="K67" s="9" t="s">
        <v>406</v>
      </c>
      <c r="L67" s="9" t="s">
        <v>407</v>
      </c>
      <c r="M67" s="9" t="s">
        <v>53</v>
      </c>
      <c r="N67" s="9" t="s">
        <v>54</v>
      </c>
      <c r="O67" s="9">
        <v>0</v>
      </c>
      <c r="P67" s="9" t="str">
        <f ca="1">IF(M67="Completed","Green",IF(TODAY()&gt;H67,"Red",IF(AND(TODAY()+14&gt;H67,O67&lt;0.75),"Amber","Green")))</f>
        <v>Green</v>
      </c>
      <c r="Q67" s="9"/>
    </row>
    <row r="68" spans="1:17">
      <c r="A68" s="9" t="s">
        <v>408</v>
      </c>
      <c r="B68" s="9" t="s">
        <v>18</v>
      </c>
      <c r="C68" s="9" t="s">
        <v>13</v>
      </c>
      <c r="D68" s="9" t="s">
        <v>409</v>
      </c>
      <c r="E68" s="9" t="s">
        <v>377</v>
      </c>
      <c r="F68" s="9" t="s">
        <v>410</v>
      </c>
      <c r="G68" s="9">
        <v>46228</v>
      </c>
      <c r="H68" s="9">
        <v>46237</v>
      </c>
      <c r="I68" s="9">
        <f>H68-G68+1</f>
        <v>10</v>
      </c>
      <c r="J68" s="9" t="s">
        <v>411</v>
      </c>
      <c r="K68" s="9" t="s">
        <v>412</v>
      </c>
      <c r="L68" s="9" t="s">
        <v>413</v>
      </c>
      <c r="M68" s="9" t="s">
        <v>53</v>
      </c>
      <c r="N68" s="9" t="s">
        <v>54</v>
      </c>
      <c r="O68" s="9">
        <v>0</v>
      </c>
      <c r="P68" s="9" t="str">
        <f ca="1">IF(M68="Completed","Green",IF(TODAY()&gt;H68,"Red",IF(AND(TODAY()+14&gt;H68,O68&lt;0.75),"Amber","Green")))</f>
        <v>Green</v>
      </c>
      <c r="Q68" s="9"/>
    </row>
    <row r="69" spans="1:17">
      <c r="A69" s="9" t="s">
        <v>414</v>
      </c>
      <c r="B69" s="9" t="s">
        <v>18</v>
      </c>
      <c r="C69" s="9" t="s">
        <v>15</v>
      </c>
      <c r="D69" s="9" t="s">
        <v>415</v>
      </c>
      <c r="E69" s="9" t="s">
        <v>388</v>
      </c>
      <c r="F69" s="9" t="s">
        <v>416</v>
      </c>
      <c r="G69" s="9">
        <v>46234</v>
      </c>
      <c r="H69" s="9">
        <v>46248</v>
      </c>
      <c r="I69" s="9">
        <f>H69-G69+1</f>
        <v>15</v>
      </c>
      <c r="J69" s="9" t="s">
        <v>408</v>
      </c>
      <c r="K69" s="9" t="s">
        <v>417</v>
      </c>
      <c r="L69" s="9" t="s">
        <v>418</v>
      </c>
      <c r="M69" s="9" t="s">
        <v>53</v>
      </c>
      <c r="N69" s="9" t="s">
        <v>54</v>
      </c>
      <c r="O69" s="9">
        <v>0</v>
      </c>
      <c r="P69" s="9" t="str">
        <f ca="1">IF(M69="Completed","Green",IF(TODAY()&gt;H69,"Red",IF(AND(TODAY()+14&gt;H69,O69&lt;0.75),"Amber","Green")))</f>
        <v>Green</v>
      </c>
      <c r="Q69" s="9"/>
    </row>
    <row r="70" spans="1:17">
      <c r="A70" s="9" t="s">
        <v>419</v>
      </c>
      <c r="B70" s="9" t="s">
        <v>18</v>
      </c>
      <c r="C70" s="9" t="s">
        <v>15</v>
      </c>
      <c r="D70" s="9" t="s">
        <v>420</v>
      </c>
      <c r="E70" s="9" t="s">
        <v>383</v>
      </c>
      <c r="F70" s="9" t="s">
        <v>421</v>
      </c>
      <c r="G70" s="9">
        <v>46238</v>
      </c>
      <c r="H70" s="9">
        <v>46257</v>
      </c>
      <c r="I70" s="9">
        <f>H70-G70+1</f>
        <v>20</v>
      </c>
      <c r="J70" s="9" t="s">
        <v>422</v>
      </c>
      <c r="K70" s="9" t="s">
        <v>423</v>
      </c>
      <c r="L70" s="9" t="s">
        <v>424</v>
      </c>
      <c r="M70" s="9" t="s">
        <v>53</v>
      </c>
      <c r="N70" s="9" t="s">
        <v>54</v>
      </c>
      <c r="O70" s="9">
        <v>0</v>
      </c>
      <c r="P70" s="9" t="str">
        <f ca="1">IF(M70="Completed","Green",IF(TODAY()&gt;H70,"Red",IF(AND(TODAY()+14&gt;H70,O70&lt;0.75),"Amber","Green")))</f>
        <v>Green</v>
      </c>
      <c r="Q70" s="9"/>
    </row>
    <row r="71" spans="1:17">
      <c r="A71" s="9" t="s">
        <v>425</v>
      </c>
      <c r="B71" s="9" t="s">
        <v>18</v>
      </c>
      <c r="C71" s="9" t="s">
        <v>15</v>
      </c>
      <c r="D71" s="9" t="s">
        <v>426</v>
      </c>
      <c r="E71" s="9" t="s">
        <v>383</v>
      </c>
      <c r="F71" s="9" t="s">
        <v>270</v>
      </c>
      <c r="G71" s="9">
        <v>46248</v>
      </c>
      <c r="H71" s="9">
        <v>46262</v>
      </c>
      <c r="I71" s="9">
        <f>H71-G71+1</f>
        <v>15</v>
      </c>
      <c r="J71" s="9" t="s">
        <v>419</v>
      </c>
      <c r="K71" s="9" t="s">
        <v>427</v>
      </c>
      <c r="L71" s="9" t="s">
        <v>428</v>
      </c>
      <c r="M71" s="9" t="s">
        <v>53</v>
      </c>
      <c r="N71" s="9" t="s">
        <v>54</v>
      </c>
      <c r="O71" s="9">
        <v>0</v>
      </c>
      <c r="P71" s="9" t="str">
        <f ca="1">IF(M71="Completed","Green",IF(TODAY()&gt;H71,"Red",IF(AND(TODAY()+14&gt;H71,O71&lt;0.75),"Amber","Green")))</f>
        <v>Green</v>
      </c>
      <c r="Q71" s="9"/>
    </row>
    <row r="72" spans="1:17">
      <c r="A72" s="9" t="s">
        <v>429</v>
      </c>
      <c r="B72" s="9" t="s">
        <v>18</v>
      </c>
      <c r="C72" s="9" t="s">
        <v>15</v>
      </c>
      <c r="D72" s="9" t="s">
        <v>430</v>
      </c>
      <c r="E72" s="9" t="s">
        <v>377</v>
      </c>
      <c r="F72" s="9" t="s">
        <v>90</v>
      </c>
      <c r="G72" s="9">
        <v>46253</v>
      </c>
      <c r="H72" s="9">
        <v>46262</v>
      </c>
      <c r="I72" s="9">
        <f>H72-G72+1</f>
        <v>10</v>
      </c>
      <c r="J72" s="9" t="s">
        <v>414</v>
      </c>
      <c r="K72" s="9" t="s">
        <v>431</v>
      </c>
      <c r="L72" s="9" t="s">
        <v>432</v>
      </c>
      <c r="M72" s="9" t="s">
        <v>53</v>
      </c>
      <c r="N72" s="9" t="s">
        <v>54</v>
      </c>
      <c r="O72" s="9">
        <v>0</v>
      </c>
      <c r="P72" s="9" t="str">
        <f ca="1">IF(M72="Completed","Green",IF(TODAY()&gt;H72,"Red",IF(AND(TODAY()+14&gt;H72,O72&lt;0.75),"Amber","Green")))</f>
        <v>Green</v>
      </c>
      <c r="Q72" s="9"/>
    </row>
    <row r="73" spans="1:17">
      <c r="A73" s="9" t="s">
        <v>433</v>
      </c>
      <c r="B73" s="9" t="s">
        <v>18</v>
      </c>
      <c r="C73" s="9" t="s">
        <v>17</v>
      </c>
      <c r="D73" s="9" t="s">
        <v>434</v>
      </c>
      <c r="E73" s="9" t="s">
        <v>388</v>
      </c>
      <c r="F73" s="9" t="s">
        <v>389</v>
      </c>
      <c r="G73" s="9">
        <v>46264</v>
      </c>
      <c r="H73" s="9">
        <v>46283</v>
      </c>
      <c r="I73" s="9">
        <f>H73-G73+1</f>
        <v>20</v>
      </c>
      <c r="J73" s="9" t="s">
        <v>435</v>
      </c>
      <c r="K73" s="9" t="s">
        <v>436</v>
      </c>
      <c r="L73" s="9" t="s">
        <v>437</v>
      </c>
      <c r="M73" s="9" t="s">
        <v>53</v>
      </c>
      <c r="N73" s="9" t="s">
        <v>54</v>
      </c>
      <c r="O73" s="9">
        <v>0</v>
      </c>
      <c r="P73" s="9" t="str">
        <f ca="1">IF(M73="Completed","Green",IF(TODAY()&gt;H73,"Red",IF(AND(TODAY()+14&gt;H73,O73&lt;0.75),"Amber","Green")))</f>
        <v>Green</v>
      </c>
      <c r="Q73" s="9"/>
    </row>
    <row r="74" spans="1:17">
      <c r="A74" s="9" t="s">
        <v>438</v>
      </c>
      <c r="B74" s="9" t="s">
        <v>18</v>
      </c>
      <c r="C74" s="9" t="s">
        <v>17</v>
      </c>
      <c r="D74" s="9" t="s">
        <v>439</v>
      </c>
      <c r="E74" s="9" t="s">
        <v>394</v>
      </c>
      <c r="F74" s="9" t="s">
        <v>440</v>
      </c>
      <c r="G74" s="9">
        <v>46268</v>
      </c>
      <c r="H74" s="9">
        <v>46287</v>
      </c>
      <c r="I74" s="9">
        <f>H74-G74+1</f>
        <v>20</v>
      </c>
      <c r="J74" s="9" t="s">
        <v>433</v>
      </c>
      <c r="K74" s="9" t="s">
        <v>441</v>
      </c>
      <c r="L74" s="9" t="s">
        <v>442</v>
      </c>
      <c r="M74" s="9" t="s">
        <v>53</v>
      </c>
      <c r="N74" s="9" t="s">
        <v>54</v>
      </c>
      <c r="O74" s="9">
        <v>0</v>
      </c>
      <c r="P74" s="9" t="str">
        <f ca="1">IF(M74="Completed","Green",IF(TODAY()&gt;H74,"Red",IF(AND(TODAY()+14&gt;H74,O74&lt;0.75),"Amber","Green")))</f>
        <v>Green</v>
      </c>
      <c r="Q74" s="9"/>
    </row>
    <row r="75" spans="1:17">
      <c r="A75" s="9" t="s">
        <v>443</v>
      </c>
      <c r="B75" s="9" t="s">
        <v>18</v>
      </c>
      <c r="C75" s="9" t="s">
        <v>17</v>
      </c>
      <c r="D75" s="9" t="s">
        <v>444</v>
      </c>
      <c r="E75" s="9" t="s">
        <v>377</v>
      </c>
      <c r="F75" s="9" t="s">
        <v>404</v>
      </c>
      <c r="G75" s="9">
        <v>46278</v>
      </c>
      <c r="H75" s="9">
        <v>46292</v>
      </c>
      <c r="I75" s="9">
        <f>H75-G75+1</f>
        <v>15</v>
      </c>
      <c r="J75" s="9" t="s">
        <v>438</v>
      </c>
      <c r="K75" s="9" t="s">
        <v>445</v>
      </c>
      <c r="L75" s="9" t="s">
        <v>446</v>
      </c>
      <c r="M75" s="9" t="s">
        <v>53</v>
      </c>
      <c r="N75" s="9" t="s">
        <v>54</v>
      </c>
      <c r="O75" s="9">
        <v>0</v>
      </c>
      <c r="P75" s="9" t="str">
        <f ca="1">IF(M75="Completed","Green",IF(TODAY()&gt;H75,"Red",IF(AND(TODAY()+14&gt;H75,O75&lt;0.75),"Amber","Green")))</f>
        <v>Green</v>
      </c>
      <c r="Q75" s="9"/>
    </row>
    <row r="76" spans="1:17">
      <c r="A76" s="9" t="s">
        <v>447</v>
      </c>
      <c r="B76" s="9" t="s">
        <v>18</v>
      </c>
      <c r="C76" s="9" t="s">
        <v>17</v>
      </c>
      <c r="D76" s="9" t="s">
        <v>448</v>
      </c>
      <c r="E76" s="9" t="s">
        <v>449</v>
      </c>
      <c r="F76" s="9" t="s">
        <v>450</v>
      </c>
      <c r="G76" s="9">
        <v>46288</v>
      </c>
      <c r="H76" s="9">
        <v>46297</v>
      </c>
      <c r="I76" s="9">
        <f>H76-G76+1</f>
        <v>10</v>
      </c>
      <c r="J76" s="9" t="s">
        <v>443</v>
      </c>
      <c r="K76" s="9" t="s">
        <v>451</v>
      </c>
      <c r="L76" s="9" t="s">
        <v>452</v>
      </c>
      <c r="M76" s="9" t="s">
        <v>53</v>
      </c>
      <c r="N76" s="9" t="s">
        <v>54</v>
      </c>
      <c r="O76" s="9">
        <v>0</v>
      </c>
      <c r="P76" s="9" t="str">
        <f ca="1">IF(M76="Completed","Green",IF(TODAY()&gt;H76,"Red",IF(AND(TODAY()+14&gt;H76,O76&lt;0.75),"Amber","Green")))</f>
        <v>Green</v>
      </c>
      <c r="Q76" s="9"/>
    </row>
    <row r="77" spans="1:17">
      <c r="A77" s="9" t="s">
        <v>453</v>
      </c>
      <c r="B77" s="9" t="s">
        <v>18</v>
      </c>
      <c r="C77" s="9" t="s">
        <v>19</v>
      </c>
      <c r="D77" s="9" t="s">
        <v>454</v>
      </c>
      <c r="E77" s="9" t="s">
        <v>394</v>
      </c>
      <c r="F77" s="9" t="s">
        <v>440</v>
      </c>
      <c r="G77" s="9">
        <v>46294</v>
      </c>
      <c r="H77" s="9">
        <v>46323</v>
      </c>
      <c r="I77" s="9">
        <f>H77-G77+1</f>
        <v>30</v>
      </c>
      <c r="J77" s="9" t="s">
        <v>455</v>
      </c>
      <c r="K77" s="9" t="s">
        <v>456</v>
      </c>
      <c r="L77" s="9" t="s">
        <v>457</v>
      </c>
      <c r="M77" s="9" t="s">
        <v>53</v>
      </c>
      <c r="N77" s="9" t="s">
        <v>54</v>
      </c>
      <c r="O77" s="9">
        <v>0</v>
      </c>
      <c r="P77" s="9" t="str">
        <f ca="1">IF(M77="Completed","Green",IF(TODAY()&gt;H77,"Red",IF(AND(TODAY()+14&gt;H77,O77&lt;0.75),"Amber","Green")))</f>
        <v>Green</v>
      </c>
      <c r="Q77" s="9"/>
    </row>
    <row r="78" spans="1:17">
      <c r="A78" s="9" t="s">
        <v>458</v>
      </c>
      <c r="B78" s="9" t="s">
        <v>18</v>
      </c>
      <c r="C78" s="9" t="s">
        <v>19</v>
      </c>
      <c r="D78" s="9" t="s">
        <v>459</v>
      </c>
      <c r="E78" s="9" t="s">
        <v>460</v>
      </c>
      <c r="F78" s="9" t="s">
        <v>95</v>
      </c>
      <c r="G78" s="9">
        <v>46303</v>
      </c>
      <c r="H78" s="9">
        <v>46327</v>
      </c>
      <c r="I78" s="9">
        <f>H78-G78+1</f>
        <v>25</v>
      </c>
      <c r="J78" s="9" t="s">
        <v>461</v>
      </c>
      <c r="K78" s="9" t="s">
        <v>462</v>
      </c>
      <c r="L78" s="9" t="s">
        <v>463</v>
      </c>
      <c r="M78" s="9" t="s">
        <v>53</v>
      </c>
      <c r="N78" s="9" t="s">
        <v>54</v>
      </c>
      <c r="O78" s="9">
        <v>0</v>
      </c>
      <c r="P78" s="9" t="str">
        <f ca="1">IF(M78="Completed","Green",IF(TODAY()&gt;H78,"Red",IF(AND(TODAY()+14&gt;H78,O78&lt;0.75),"Amber","Green")))</f>
        <v>Green</v>
      </c>
      <c r="Q78" s="9"/>
    </row>
    <row r="79" spans="1:17">
      <c r="A79" s="9" t="s">
        <v>464</v>
      </c>
      <c r="B79" s="9" t="s">
        <v>18</v>
      </c>
      <c r="C79" s="9" t="s">
        <v>19</v>
      </c>
      <c r="D79" s="9" t="s">
        <v>465</v>
      </c>
      <c r="E79" s="9" t="s">
        <v>388</v>
      </c>
      <c r="F79" s="9" t="s">
        <v>466</v>
      </c>
      <c r="G79" s="9">
        <v>46318</v>
      </c>
      <c r="H79" s="9">
        <v>46347</v>
      </c>
      <c r="I79" s="9">
        <f>H79-G79+1</f>
        <v>30</v>
      </c>
      <c r="J79" s="9" t="s">
        <v>458</v>
      </c>
      <c r="K79" s="9" t="s">
        <v>467</v>
      </c>
      <c r="L79" s="9" t="s">
        <v>468</v>
      </c>
      <c r="M79" s="9" t="s">
        <v>53</v>
      </c>
      <c r="N79" s="9" t="s">
        <v>54</v>
      </c>
      <c r="O79" s="9">
        <v>0</v>
      </c>
      <c r="P79" s="9" t="str">
        <f ca="1">IF(M79="Completed","Green",IF(TODAY()&gt;H79,"Red",IF(AND(TODAY()+14&gt;H79,O79&lt;0.75),"Amber","Green")))</f>
        <v>Green</v>
      </c>
      <c r="Q79" s="9"/>
    </row>
    <row r="80" spans="1:17">
      <c r="A80" s="9" t="s">
        <v>469</v>
      </c>
      <c r="B80" s="9" t="s">
        <v>18</v>
      </c>
      <c r="C80" s="9" t="s">
        <v>19</v>
      </c>
      <c r="D80" s="9" t="s">
        <v>470</v>
      </c>
      <c r="E80" s="9" t="s">
        <v>383</v>
      </c>
      <c r="F80" s="9" t="s">
        <v>389</v>
      </c>
      <c r="G80" s="9">
        <v>46333</v>
      </c>
      <c r="H80" s="9">
        <v>46362</v>
      </c>
      <c r="I80" s="9">
        <f>H80-G80+1</f>
        <v>30</v>
      </c>
      <c r="J80" s="9" t="s">
        <v>464</v>
      </c>
      <c r="K80" s="9" t="s">
        <v>471</v>
      </c>
      <c r="L80" s="9" t="s">
        <v>472</v>
      </c>
      <c r="M80" s="9" t="s">
        <v>53</v>
      </c>
      <c r="N80" s="9" t="s">
        <v>54</v>
      </c>
      <c r="O80" s="9">
        <v>0</v>
      </c>
      <c r="P80" s="9" t="str">
        <f ca="1">IF(M80="Completed","Green",IF(TODAY()&gt;H80,"Red",IF(AND(TODAY()+14&gt;H80,O80&lt;0.75),"Amber","Green")))</f>
        <v>Green</v>
      </c>
      <c r="Q80" s="9"/>
    </row>
    <row r="81" spans="1:17">
      <c r="A81" s="9" t="s">
        <v>473</v>
      </c>
      <c r="B81" s="9" t="s">
        <v>18</v>
      </c>
      <c r="C81" s="9" t="s">
        <v>19</v>
      </c>
      <c r="D81" s="9" t="s">
        <v>474</v>
      </c>
      <c r="E81" s="9" t="s">
        <v>377</v>
      </c>
      <c r="F81" s="9" t="s">
        <v>50</v>
      </c>
      <c r="G81" s="9">
        <v>46363</v>
      </c>
      <c r="H81" s="9">
        <v>46382</v>
      </c>
      <c r="I81" s="9">
        <f>H81-G81+1</f>
        <v>20</v>
      </c>
      <c r="J81" s="9" t="s">
        <v>475</v>
      </c>
      <c r="K81" s="9" t="s">
        <v>476</v>
      </c>
      <c r="L81" s="9" t="s">
        <v>477</v>
      </c>
      <c r="M81" s="9" t="s">
        <v>53</v>
      </c>
      <c r="N81" s="9" t="s">
        <v>54</v>
      </c>
      <c r="O81" s="9">
        <v>0</v>
      </c>
      <c r="P81" s="9" t="str">
        <f ca="1">IF(M81="Completed","Green",IF(TODAY()&gt;H81,"Red",IF(AND(TODAY()+14&gt;H81,O81&lt;0.75),"Amber","Green")))</f>
        <v>Green</v>
      </c>
      <c r="Q81" s="9"/>
    </row>
    <row r="82" spans="1:17">
      <c r="A82" s="9" t="s">
        <v>478</v>
      </c>
      <c r="B82" s="9" t="s">
        <v>20</v>
      </c>
      <c r="C82" s="9" t="s">
        <v>13</v>
      </c>
      <c r="D82" s="9" t="s">
        <v>479</v>
      </c>
      <c r="E82" s="9" t="s">
        <v>480</v>
      </c>
      <c r="F82" s="9" t="s">
        <v>50</v>
      </c>
      <c r="G82" s="9">
        <v>46204</v>
      </c>
      <c r="H82" s="9">
        <v>46208</v>
      </c>
      <c r="I82" s="9">
        <f>H82-G82+1</f>
        <v>5</v>
      </c>
      <c r="J82" s="9"/>
      <c r="K82" s="9" t="s">
        <v>481</v>
      </c>
      <c r="L82" s="9" t="s">
        <v>482</v>
      </c>
      <c r="M82" s="9" t="s">
        <v>53</v>
      </c>
      <c r="N82" s="9" t="s">
        <v>54</v>
      </c>
      <c r="O82" s="9">
        <v>0</v>
      </c>
      <c r="P82" s="9" t="str">
        <f ca="1">IF(M82="Completed","Green",IF(TODAY()&gt;H82,"Red",IF(AND(TODAY()+14&gt;H82,O82&lt;0.75),"Amber","Green")))</f>
        <v>Green</v>
      </c>
      <c r="Q82" s="9"/>
    </row>
    <row r="83" spans="1:17">
      <c r="A83" s="9" t="s">
        <v>483</v>
      </c>
      <c r="B83" s="9" t="s">
        <v>20</v>
      </c>
      <c r="C83" s="9" t="s">
        <v>13</v>
      </c>
      <c r="D83" s="9" t="s">
        <v>484</v>
      </c>
      <c r="E83" s="9" t="s">
        <v>485</v>
      </c>
      <c r="F83" s="9" t="s">
        <v>486</v>
      </c>
      <c r="G83" s="9">
        <v>46208</v>
      </c>
      <c r="H83" s="9">
        <v>46217</v>
      </c>
      <c r="I83" s="9">
        <f>H83-G83+1</f>
        <v>10</v>
      </c>
      <c r="J83" s="9" t="s">
        <v>478</v>
      </c>
      <c r="K83" s="9" t="s">
        <v>487</v>
      </c>
      <c r="L83" s="9" t="s">
        <v>488</v>
      </c>
      <c r="M83" s="9" t="s">
        <v>53</v>
      </c>
      <c r="N83" s="9" t="s">
        <v>54</v>
      </c>
      <c r="O83" s="9">
        <v>0</v>
      </c>
      <c r="P83" s="9" t="str">
        <f ca="1">IF(M83="Completed","Green",IF(TODAY()&gt;H83,"Red",IF(AND(TODAY()+14&gt;H83,O83&lt;0.75),"Amber","Green")))</f>
        <v>Green</v>
      </c>
      <c r="Q83" s="9"/>
    </row>
    <row r="84" spans="1:17">
      <c r="A84" s="9" t="s">
        <v>489</v>
      </c>
      <c r="B84" s="9" t="s">
        <v>20</v>
      </c>
      <c r="C84" s="9" t="s">
        <v>13</v>
      </c>
      <c r="D84" s="9" t="s">
        <v>490</v>
      </c>
      <c r="E84" s="9" t="s">
        <v>89</v>
      </c>
      <c r="F84" s="9" t="s">
        <v>90</v>
      </c>
      <c r="G84" s="9">
        <v>46211</v>
      </c>
      <c r="H84" s="9">
        <v>46222</v>
      </c>
      <c r="I84" s="9">
        <f>H84-G84+1</f>
        <v>12</v>
      </c>
      <c r="J84" s="9" t="s">
        <v>478</v>
      </c>
      <c r="K84" s="9" t="s">
        <v>491</v>
      </c>
      <c r="L84" s="9" t="s">
        <v>492</v>
      </c>
      <c r="M84" s="9" t="s">
        <v>53</v>
      </c>
      <c r="N84" s="9" t="s">
        <v>54</v>
      </c>
      <c r="O84" s="9">
        <v>0</v>
      </c>
      <c r="P84" s="9" t="str">
        <f ca="1">IF(M84="Completed","Green",IF(TODAY()&gt;H84,"Red",IF(AND(TODAY()+14&gt;H84,O84&lt;0.75),"Amber","Green")))</f>
        <v>Green</v>
      </c>
      <c r="Q84" s="9"/>
    </row>
    <row r="85" spans="1:17">
      <c r="A85" s="9" t="s">
        <v>493</v>
      </c>
      <c r="B85" s="9" t="s">
        <v>20</v>
      </c>
      <c r="C85" s="9" t="s">
        <v>13</v>
      </c>
      <c r="D85" s="9" t="s">
        <v>494</v>
      </c>
      <c r="E85" s="9" t="s">
        <v>49</v>
      </c>
      <c r="F85" s="9" t="s">
        <v>90</v>
      </c>
      <c r="G85" s="9">
        <v>46215</v>
      </c>
      <c r="H85" s="9">
        <v>46224</v>
      </c>
      <c r="I85" s="9">
        <f>H85-G85+1</f>
        <v>10</v>
      </c>
      <c r="J85" s="9" t="s">
        <v>495</v>
      </c>
      <c r="K85" s="9" t="s">
        <v>496</v>
      </c>
      <c r="L85" s="9" t="s">
        <v>497</v>
      </c>
      <c r="M85" s="9" t="s">
        <v>53</v>
      </c>
      <c r="N85" s="9" t="s">
        <v>54</v>
      </c>
      <c r="O85" s="9">
        <v>0</v>
      </c>
      <c r="P85" s="9" t="str">
        <f ca="1">IF(M85="Completed","Green",IF(TODAY()&gt;H85,"Red",IF(AND(TODAY()+14&gt;H85,O85&lt;0.75),"Amber","Green")))</f>
        <v>Green</v>
      </c>
      <c r="Q85" s="9"/>
    </row>
    <row r="86" spans="1:17">
      <c r="A86" s="9" t="s">
        <v>498</v>
      </c>
      <c r="B86" s="9" t="s">
        <v>20</v>
      </c>
      <c r="C86" s="9" t="s">
        <v>13</v>
      </c>
      <c r="D86" s="9" t="s">
        <v>499</v>
      </c>
      <c r="E86" s="9" t="s">
        <v>485</v>
      </c>
      <c r="F86" s="9" t="s">
        <v>90</v>
      </c>
      <c r="G86" s="9">
        <v>46218</v>
      </c>
      <c r="H86" s="9">
        <v>46232</v>
      </c>
      <c r="I86" s="9">
        <f>H86-G86+1</f>
        <v>15</v>
      </c>
      <c r="J86" s="9" t="s">
        <v>493</v>
      </c>
      <c r="K86" s="9" t="s">
        <v>500</v>
      </c>
      <c r="L86" s="9" t="s">
        <v>501</v>
      </c>
      <c r="M86" s="9" t="s">
        <v>53</v>
      </c>
      <c r="N86" s="9" t="s">
        <v>54</v>
      </c>
      <c r="O86" s="9">
        <v>0</v>
      </c>
      <c r="P86" s="9" t="str">
        <f ca="1">IF(M86="Completed","Green",IF(TODAY()&gt;H86,"Red",IF(AND(TODAY()+14&gt;H86,O86&lt;0.75),"Amber","Green")))</f>
        <v>Green</v>
      </c>
      <c r="Q86" s="9"/>
    </row>
    <row r="87" spans="1:17">
      <c r="A87" s="9" t="s">
        <v>502</v>
      </c>
      <c r="B87" s="9" t="s">
        <v>20</v>
      </c>
      <c r="C87" s="9" t="s">
        <v>13</v>
      </c>
      <c r="D87" s="9" t="s">
        <v>503</v>
      </c>
      <c r="E87" s="9" t="s">
        <v>504</v>
      </c>
      <c r="F87" s="9" t="s">
        <v>505</v>
      </c>
      <c r="G87" s="9">
        <v>46223</v>
      </c>
      <c r="H87" s="9">
        <v>46234</v>
      </c>
      <c r="I87" s="9">
        <f>H87-G87+1</f>
        <v>12</v>
      </c>
      <c r="J87" s="9" t="s">
        <v>506</v>
      </c>
      <c r="K87" s="9" t="s">
        <v>507</v>
      </c>
      <c r="L87" s="9" t="s">
        <v>508</v>
      </c>
      <c r="M87" s="9" t="s">
        <v>53</v>
      </c>
      <c r="N87" s="9" t="s">
        <v>54</v>
      </c>
      <c r="O87" s="9">
        <v>0</v>
      </c>
      <c r="P87" s="9" t="str">
        <f ca="1">IF(M87="Completed","Green",IF(TODAY()&gt;H87,"Red",IF(AND(TODAY()+14&gt;H87,O87&lt;0.75),"Amber","Green")))</f>
        <v>Green</v>
      </c>
      <c r="Q87" s="9"/>
    </row>
    <row r="88" spans="1:17">
      <c r="A88" s="9" t="s">
        <v>509</v>
      </c>
      <c r="B88" s="9" t="s">
        <v>20</v>
      </c>
      <c r="C88" s="9" t="s">
        <v>13</v>
      </c>
      <c r="D88" s="9" t="s">
        <v>510</v>
      </c>
      <c r="E88" s="9" t="s">
        <v>485</v>
      </c>
      <c r="F88" s="9" t="s">
        <v>511</v>
      </c>
      <c r="G88" s="9">
        <v>46228</v>
      </c>
      <c r="H88" s="9">
        <v>46237</v>
      </c>
      <c r="I88" s="9">
        <f>H88-G88+1</f>
        <v>10</v>
      </c>
      <c r="J88" s="9" t="s">
        <v>512</v>
      </c>
      <c r="K88" s="9" t="s">
        <v>513</v>
      </c>
      <c r="L88" s="9" t="s">
        <v>514</v>
      </c>
      <c r="M88" s="9" t="s">
        <v>53</v>
      </c>
      <c r="N88" s="9" t="s">
        <v>54</v>
      </c>
      <c r="O88" s="9">
        <v>0</v>
      </c>
      <c r="P88" s="9" t="str">
        <f ca="1">IF(M88="Completed","Green",IF(TODAY()&gt;H88,"Red",IF(AND(TODAY()+14&gt;H88,O88&lt;0.75),"Amber","Green")))</f>
        <v>Green</v>
      </c>
      <c r="Q88" s="9"/>
    </row>
    <row r="89" spans="1:17">
      <c r="A89" s="9" t="s">
        <v>515</v>
      </c>
      <c r="B89" s="9" t="s">
        <v>20</v>
      </c>
      <c r="C89" s="9" t="s">
        <v>15</v>
      </c>
      <c r="D89" s="9" t="s">
        <v>516</v>
      </c>
      <c r="E89" s="9" t="s">
        <v>517</v>
      </c>
      <c r="F89" s="9" t="s">
        <v>505</v>
      </c>
      <c r="G89" s="9">
        <v>46234</v>
      </c>
      <c r="H89" s="9">
        <v>46243</v>
      </c>
      <c r="I89" s="9">
        <f>H89-G89+1</f>
        <v>10</v>
      </c>
      <c r="J89" s="9" t="s">
        <v>518</v>
      </c>
      <c r="K89" s="9" t="s">
        <v>519</v>
      </c>
      <c r="L89" s="9" t="s">
        <v>520</v>
      </c>
      <c r="M89" s="9" t="s">
        <v>53</v>
      </c>
      <c r="N89" s="9" t="s">
        <v>54</v>
      </c>
      <c r="O89" s="9">
        <v>0</v>
      </c>
      <c r="P89" s="9" t="str">
        <f ca="1">IF(M89="Completed","Green",IF(TODAY()&gt;H89,"Red",IF(AND(TODAY()+14&gt;H89,O89&lt;0.75),"Amber","Green")))</f>
        <v>Green</v>
      </c>
      <c r="Q89" s="9"/>
    </row>
    <row r="90" spans="1:17">
      <c r="A90" s="9" t="s">
        <v>521</v>
      </c>
      <c r="B90" s="9" t="s">
        <v>20</v>
      </c>
      <c r="C90" s="9" t="s">
        <v>15</v>
      </c>
      <c r="D90" s="9" t="s">
        <v>522</v>
      </c>
      <c r="E90" s="9" t="s">
        <v>517</v>
      </c>
      <c r="F90" s="9" t="s">
        <v>505</v>
      </c>
      <c r="G90" s="9">
        <v>46243</v>
      </c>
      <c r="H90" s="9">
        <v>46262</v>
      </c>
      <c r="I90" s="9">
        <f>H90-G90+1</f>
        <v>20</v>
      </c>
      <c r="J90" s="9" t="s">
        <v>515</v>
      </c>
      <c r="K90" s="9" t="s">
        <v>523</v>
      </c>
      <c r="L90" s="9" t="s">
        <v>524</v>
      </c>
      <c r="M90" s="9" t="s">
        <v>53</v>
      </c>
      <c r="N90" s="9" t="s">
        <v>54</v>
      </c>
      <c r="O90" s="9">
        <v>0</v>
      </c>
      <c r="P90" s="9" t="str">
        <f ca="1">IF(M90="Completed","Green",IF(TODAY()&gt;H90,"Red",IF(AND(TODAY()+14&gt;H90,O90&lt;0.75),"Amber","Green")))</f>
        <v>Green</v>
      </c>
      <c r="Q90" s="9"/>
    </row>
    <row r="91" spans="1:17">
      <c r="A91" s="9" t="s">
        <v>525</v>
      </c>
      <c r="B91" s="9" t="s">
        <v>20</v>
      </c>
      <c r="C91" s="9" t="s">
        <v>15</v>
      </c>
      <c r="D91" s="9" t="s">
        <v>526</v>
      </c>
      <c r="E91" s="9" t="s">
        <v>101</v>
      </c>
      <c r="F91" s="9" t="s">
        <v>58</v>
      </c>
      <c r="G91" s="9">
        <v>46253</v>
      </c>
      <c r="H91" s="9">
        <v>46262</v>
      </c>
      <c r="I91" s="9">
        <f>H91-G91+1</f>
        <v>10</v>
      </c>
      <c r="J91" s="9" t="s">
        <v>527</v>
      </c>
      <c r="K91" s="9" t="s">
        <v>528</v>
      </c>
      <c r="L91" s="9" t="s">
        <v>529</v>
      </c>
      <c r="M91" s="9" t="s">
        <v>53</v>
      </c>
      <c r="N91" s="9" t="s">
        <v>54</v>
      </c>
      <c r="O91" s="9">
        <v>0</v>
      </c>
      <c r="P91" s="9" t="str">
        <f ca="1">IF(M91="Completed","Green",IF(TODAY()&gt;H91,"Red",IF(AND(TODAY()+14&gt;H91,O91&lt;0.75),"Amber","Green")))</f>
        <v>Green</v>
      </c>
      <c r="Q91" s="9"/>
    </row>
    <row r="92" spans="1:17">
      <c r="A92" s="9" t="s">
        <v>530</v>
      </c>
      <c r="B92" s="9" t="s">
        <v>20</v>
      </c>
      <c r="C92" s="9" t="s">
        <v>17</v>
      </c>
      <c r="D92" s="9" t="s">
        <v>531</v>
      </c>
      <c r="E92" s="9" t="s">
        <v>480</v>
      </c>
      <c r="F92" s="9" t="s">
        <v>127</v>
      </c>
      <c r="G92" s="9">
        <v>46264</v>
      </c>
      <c r="H92" s="9">
        <v>46283</v>
      </c>
      <c r="I92" s="9">
        <f>H92-G92+1</f>
        <v>20</v>
      </c>
      <c r="J92" s="9" t="s">
        <v>532</v>
      </c>
      <c r="K92" s="9" t="s">
        <v>533</v>
      </c>
      <c r="L92" s="9" t="s">
        <v>534</v>
      </c>
      <c r="M92" s="9" t="s">
        <v>53</v>
      </c>
      <c r="N92" s="9" t="s">
        <v>54</v>
      </c>
      <c r="O92" s="9">
        <v>0</v>
      </c>
      <c r="P92" s="9" t="str">
        <f ca="1">IF(M92="Completed","Green",IF(TODAY()&gt;H92,"Red",IF(AND(TODAY()+14&gt;H92,O92&lt;0.75),"Amber","Green")))</f>
        <v>Green</v>
      </c>
      <c r="Q92" s="9"/>
    </row>
    <row r="93" spans="1:17">
      <c r="A93" s="9" t="s">
        <v>535</v>
      </c>
      <c r="B93" s="9" t="s">
        <v>20</v>
      </c>
      <c r="C93" s="9" t="s">
        <v>17</v>
      </c>
      <c r="D93" s="9" t="s">
        <v>536</v>
      </c>
      <c r="E93" s="9" t="s">
        <v>485</v>
      </c>
      <c r="F93" s="9" t="s">
        <v>90</v>
      </c>
      <c r="G93" s="9">
        <v>46268</v>
      </c>
      <c r="H93" s="9">
        <v>46292</v>
      </c>
      <c r="I93" s="9">
        <f>H93-G93+1</f>
        <v>25</v>
      </c>
      <c r="J93" s="9" t="s">
        <v>537</v>
      </c>
      <c r="K93" s="9" t="s">
        <v>538</v>
      </c>
      <c r="L93" s="9" t="s">
        <v>539</v>
      </c>
      <c r="M93" s="9" t="s">
        <v>53</v>
      </c>
      <c r="N93" s="9" t="s">
        <v>54</v>
      </c>
      <c r="O93" s="9">
        <v>0</v>
      </c>
      <c r="P93" s="9" t="str">
        <f ca="1">IF(M93="Completed","Green",IF(TODAY()&gt;H93,"Red",IF(AND(TODAY()+14&gt;H93,O93&lt;0.75),"Amber","Green")))</f>
        <v>Green</v>
      </c>
      <c r="Q93" s="9"/>
    </row>
    <row r="94" spans="1:17">
      <c r="A94" s="9" t="s">
        <v>540</v>
      </c>
      <c r="B94" s="9" t="s">
        <v>20</v>
      </c>
      <c r="C94" s="9" t="s">
        <v>17</v>
      </c>
      <c r="D94" s="9" t="s">
        <v>541</v>
      </c>
      <c r="E94" s="9" t="s">
        <v>222</v>
      </c>
      <c r="F94" s="9" t="s">
        <v>211</v>
      </c>
      <c r="G94" s="9">
        <v>46278</v>
      </c>
      <c r="H94" s="9">
        <v>46292</v>
      </c>
      <c r="I94" s="9">
        <f>H94-G94+1</f>
        <v>15</v>
      </c>
      <c r="J94" s="9" t="s">
        <v>542</v>
      </c>
      <c r="K94" s="9" t="s">
        <v>543</v>
      </c>
      <c r="L94" s="9" t="s">
        <v>544</v>
      </c>
      <c r="M94" s="9" t="s">
        <v>53</v>
      </c>
      <c r="N94" s="9" t="s">
        <v>54</v>
      </c>
      <c r="O94" s="9">
        <v>0</v>
      </c>
      <c r="P94" s="9" t="str">
        <f ca="1">IF(M94="Completed","Green",IF(TODAY()&gt;H94,"Red",IF(AND(TODAY()+14&gt;H94,O94&lt;0.75),"Amber","Green")))</f>
        <v>Green</v>
      </c>
      <c r="Q94" s="9"/>
    </row>
    <row r="95" spans="1:17">
      <c r="A95" s="9" t="s">
        <v>545</v>
      </c>
      <c r="B95" s="9" t="s">
        <v>20</v>
      </c>
      <c r="C95" s="9" t="s">
        <v>17</v>
      </c>
      <c r="D95" s="9" t="s">
        <v>546</v>
      </c>
      <c r="E95" s="9" t="s">
        <v>480</v>
      </c>
      <c r="F95" s="9" t="s">
        <v>50</v>
      </c>
      <c r="G95" s="9">
        <v>46293</v>
      </c>
      <c r="H95" s="9">
        <v>46312</v>
      </c>
      <c r="I95" s="9">
        <f>H95-G95+1</f>
        <v>20</v>
      </c>
      <c r="J95" s="9" t="s">
        <v>547</v>
      </c>
      <c r="K95" s="9" t="s">
        <v>548</v>
      </c>
      <c r="L95" s="9" t="s">
        <v>549</v>
      </c>
      <c r="M95" s="9" t="s">
        <v>53</v>
      </c>
      <c r="N95" s="9" t="s">
        <v>54</v>
      </c>
      <c r="O95" s="9">
        <v>0</v>
      </c>
      <c r="P95" s="9" t="str">
        <f ca="1">IF(M95="Completed","Green",IF(TODAY()&gt;H95,"Red",IF(AND(TODAY()+14&gt;H95,O95&lt;0.75),"Amber","Green")))</f>
        <v>Green</v>
      </c>
      <c r="Q95" s="9"/>
    </row>
    <row r="96" spans="1:17">
      <c r="A96" s="9" t="s">
        <v>550</v>
      </c>
      <c r="B96" s="9" t="s">
        <v>20</v>
      </c>
      <c r="C96" s="9" t="s">
        <v>19</v>
      </c>
      <c r="D96" s="9" t="s">
        <v>551</v>
      </c>
      <c r="E96" s="9" t="s">
        <v>101</v>
      </c>
      <c r="F96" s="9" t="s">
        <v>58</v>
      </c>
      <c r="G96" s="9">
        <v>46294</v>
      </c>
      <c r="H96" s="9">
        <v>46323</v>
      </c>
      <c r="I96" s="9">
        <f>H96-G96+1</f>
        <v>30</v>
      </c>
      <c r="J96" s="9" t="s">
        <v>545</v>
      </c>
      <c r="K96" s="9" t="s">
        <v>552</v>
      </c>
      <c r="L96" s="9" t="s">
        <v>553</v>
      </c>
      <c r="M96" s="9" t="s">
        <v>53</v>
      </c>
      <c r="N96" s="9" t="s">
        <v>54</v>
      </c>
      <c r="O96" s="9">
        <v>0</v>
      </c>
      <c r="P96" s="9" t="str">
        <f ca="1">IF(M96="Completed","Green",IF(TODAY()&gt;H96,"Red",IF(AND(TODAY()+14&gt;H96,O96&lt;0.75),"Amber","Green")))</f>
        <v>Green</v>
      </c>
      <c r="Q96" s="9"/>
    </row>
    <row r="97" spans="1:17">
      <c r="A97" s="9" t="s">
        <v>554</v>
      </c>
      <c r="B97" s="9" t="s">
        <v>20</v>
      </c>
      <c r="C97" s="9" t="s">
        <v>19</v>
      </c>
      <c r="D97" s="9" t="s">
        <v>555</v>
      </c>
      <c r="E97" s="9" t="s">
        <v>556</v>
      </c>
      <c r="F97" s="9" t="s">
        <v>90</v>
      </c>
      <c r="G97" s="9">
        <v>46303</v>
      </c>
      <c r="H97" s="9">
        <v>46337</v>
      </c>
      <c r="I97" s="9">
        <f>H97-G97+1</f>
        <v>35</v>
      </c>
      <c r="J97" s="9" t="s">
        <v>557</v>
      </c>
      <c r="K97" s="9" t="s">
        <v>558</v>
      </c>
      <c r="L97" s="9" t="s">
        <v>559</v>
      </c>
      <c r="M97" s="9" t="s">
        <v>53</v>
      </c>
      <c r="N97" s="9" t="s">
        <v>54</v>
      </c>
      <c r="O97" s="9">
        <v>0</v>
      </c>
      <c r="P97" s="9" t="str">
        <f ca="1">IF(M97="Completed","Green",IF(TODAY()&gt;H97,"Red",IF(AND(TODAY()+14&gt;H97,O97&lt;0.75),"Amber","Green")))</f>
        <v>Green</v>
      </c>
      <c r="Q97" s="9"/>
    </row>
    <row r="98" spans="1:17">
      <c r="A98" s="9" t="s">
        <v>560</v>
      </c>
      <c r="B98" s="9" t="s">
        <v>20</v>
      </c>
      <c r="C98" s="9" t="s">
        <v>19</v>
      </c>
      <c r="D98" s="9" t="s">
        <v>561</v>
      </c>
      <c r="E98" s="9" t="s">
        <v>49</v>
      </c>
      <c r="F98" s="9" t="s">
        <v>90</v>
      </c>
      <c r="G98" s="9">
        <v>46318</v>
      </c>
      <c r="H98" s="9">
        <v>46347</v>
      </c>
      <c r="I98" s="9">
        <f>H98-G98+1</f>
        <v>30</v>
      </c>
      <c r="J98" s="9" t="s">
        <v>562</v>
      </c>
      <c r="K98" s="9" t="s">
        <v>563</v>
      </c>
      <c r="L98" s="9" t="s">
        <v>564</v>
      </c>
      <c r="M98" s="9" t="s">
        <v>53</v>
      </c>
      <c r="N98" s="9" t="s">
        <v>54</v>
      </c>
      <c r="O98" s="9">
        <v>0</v>
      </c>
      <c r="P98" s="9" t="str">
        <f ca="1">IF(M98="Completed","Green",IF(TODAY()&gt;H98,"Red",IF(AND(TODAY()+14&gt;H98,O98&lt;0.75),"Amber","Green")))</f>
        <v>Green</v>
      </c>
      <c r="Q98" s="9"/>
    </row>
    <row r="99" spans="1:17">
      <c r="A99" s="9" t="s">
        <v>565</v>
      </c>
      <c r="B99" s="9" t="s">
        <v>20</v>
      </c>
      <c r="C99" s="9" t="s">
        <v>19</v>
      </c>
      <c r="D99" s="9" t="s">
        <v>566</v>
      </c>
      <c r="E99" s="9" t="s">
        <v>57</v>
      </c>
      <c r="F99" s="9" t="s">
        <v>567</v>
      </c>
      <c r="G99" s="9">
        <v>46333</v>
      </c>
      <c r="H99" s="9">
        <v>46357</v>
      </c>
      <c r="I99" s="9">
        <f>H99-G99+1</f>
        <v>25</v>
      </c>
      <c r="J99" s="9" t="s">
        <v>568</v>
      </c>
      <c r="K99" s="9" t="s">
        <v>569</v>
      </c>
      <c r="L99" s="9" t="s">
        <v>570</v>
      </c>
      <c r="M99" s="9" t="s">
        <v>53</v>
      </c>
      <c r="N99" s="9" t="s">
        <v>54</v>
      </c>
      <c r="O99" s="9">
        <v>0</v>
      </c>
      <c r="P99" s="9" t="str">
        <f ca="1">IF(M99="Completed","Green",IF(TODAY()&gt;H99,"Red",IF(AND(TODAY()+14&gt;H99,O99&lt;0.75),"Amber","Green")))</f>
        <v>Green</v>
      </c>
      <c r="Q99" s="9"/>
    </row>
    <row r="100" spans="1:17">
      <c r="A100" s="9" t="s">
        <v>571</v>
      </c>
      <c r="B100" s="9" t="s">
        <v>20</v>
      </c>
      <c r="C100" s="9" t="s">
        <v>19</v>
      </c>
      <c r="D100" s="9" t="s">
        <v>572</v>
      </c>
      <c r="E100" s="9" t="s">
        <v>480</v>
      </c>
      <c r="F100" s="9" t="s">
        <v>50</v>
      </c>
      <c r="G100" s="9">
        <v>46353</v>
      </c>
      <c r="H100" s="9">
        <v>46382</v>
      </c>
      <c r="I100" s="9">
        <f>H100-G100+1</f>
        <v>30</v>
      </c>
      <c r="J100" s="9" t="s">
        <v>573</v>
      </c>
      <c r="K100" s="9" t="s">
        <v>574</v>
      </c>
      <c r="L100" s="9" t="s">
        <v>575</v>
      </c>
      <c r="M100" s="9" t="s">
        <v>53</v>
      </c>
      <c r="N100" s="9" t="s">
        <v>54</v>
      </c>
      <c r="O100" s="9">
        <v>0</v>
      </c>
      <c r="P100" s="9" t="str">
        <f ca="1">IF(M100="Completed","Green",IF(TODAY()&gt;H100,"Red",IF(AND(TODAY()+14&gt;H100,O100&lt;0.75),"Amber","Green")))</f>
        <v>Green</v>
      </c>
      <c r="Q100" s="9"/>
    </row>
  </sheetData>
  <conditionalFormatting sqref="O2:O250">
    <cfRule type="dataBar" priority="1">
      <dataBar>
        <cfvo type="min"/>
        <cfvo type="max"/>
        <color rgb="FF70AD47"/>
      </dataBar>
    </cfRule>
  </conditionalFormatting>
  <conditionalFormatting sqref="P2:P250">
    <cfRule type="expression" dxfId="23" priority="2">
      <formula>P2="Red"</formula>
    </cfRule>
    <cfRule type="expression" dxfId="22" priority="3">
      <formula>P2="Amber"</formula>
    </cfRule>
    <cfRule type="expression" dxfId="21" priority="4">
      <formula>P2="Green"</formula>
    </cfRule>
  </conditionalFormatting>
  <conditionalFormatting sqref="O2:O250">
    <cfRule type="dataBar" priority="5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{274CDE17-95BB-03EC-4A04-8F1288508674}</x14:id>
        </ext>
      </extLst>
    </cfRule>
  </conditionalFormatting>
  <dataValidations count="2">
    <dataValidation type="list" sqref="M2:M250" xr:uid="{00000000-0002-0000-0100-000000000000}">
      <formula1>"Not Started,In Progress,Blocked,At Risk,Completed"</formula1>
    </dataValidation>
    <dataValidation type="list" sqref="N2:N250" xr:uid="{00000000-0002-0000-0100-000001000000}">
      <formula1>"Critical,High,Medium,Low"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4CDE17-95BB-03EC-4A04-8F1288508674}">
            <x14:dataBar>
              <x14:cfvo type="min"/>
              <x14:cfvo type="max"/>
              <x14:negativeFillColor auto="1"/>
              <x14:axisColor auto="1"/>
            </x14:dataBar>
          </x14:cfRule>
          <xm:sqref>O2:O250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"/>
  <sheetViews>
    <sheetView topLeftCell="D1" zoomScaleNormal="100" zoomScaleSheetLayoutView="100" workbookViewId="0">
      <selection activeCell="G2" sqref="G2"/>
    </sheetView>
  </sheetViews>
  <sheetFormatPr defaultRowHeight="15"/>
  <cols>
    <col min="1" max="1" width="10" customWidth="1"/>
    <col min="2" max="2" width="22" customWidth="1"/>
    <col min="3" max="3" width="24" customWidth="1"/>
    <col min="4" max="4" width="61.875" customWidth="1"/>
    <col min="5" max="6" width="24" customWidth="1"/>
    <col min="7" max="9" width="12" customWidth="1"/>
    <col min="10" max="10" width="18" customWidth="1"/>
    <col min="11" max="11" width="30" customWidth="1"/>
    <col min="12" max="12" width="38" customWidth="1"/>
    <col min="13" max="14" width="14" customWidth="1"/>
    <col min="15" max="16" width="12" customWidth="1"/>
    <col min="17" max="17" width="34" customWidth="1"/>
  </cols>
  <sheetData>
    <row r="1" spans="1:17" ht="32.1" customHeight="1">
      <c r="A1" s="6" t="s">
        <v>32</v>
      </c>
      <c r="B1" s="6" t="s">
        <v>7</v>
      </c>
      <c r="C1" s="6" t="s">
        <v>11</v>
      </c>
      <c r="D1" s="6" t="s">
        <v>33</v>
      </c>
      <c r="E1" s="6" t="s">
        <v>34</v>
      </c>
      <c r="F1" s="6" t="s">
        <v>35</v>
      </c>
      <c r="G1" s="7" t="s">
        <v>36</v>
      </c>
      <c r="H1" s="7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8" t="s">
        <v>44</v>
      </c>
      <c r="P1" s="6" t="s">
        <v>45</v>
      </c>
      <c r="Q1" s="6" t="s">
        <v>46</v>
      </c>
    </row>
    <row r="2" spans="1:17">
      <c r="A2" s="9" t="s">
        <v>47</v>
      </c>
      <c r="B2" s="9" t="s">
        <v>12</v>
      </c>
      <c r="C2" s="9" t="s">
        <v>13</v>
      </c>
      <c r="D2" s="9" t="s">
        <v>48</v>
      </c>
      <c r="E2" s="9" t="s">
        <v>49</v>
      </c>
      <c r="F2" s="9" t="s">
        <v>50</v>
      </c>
      <c r="G2" s="9">
        <v>46204</v>
      </c>
      <c r="H2" s="9">
        <v>46206</v>
      </c>
      <c r="I2" s="9">
        <f>H2-G2+1</f>
        <v>3</v>
      </c>
      <c r="J2" s="9"/>
      <c r="K2" s="9" t="s">
        <v>51</v>
      </c>
      <c r="L2" s="9" t="s">
        <v>52</v>
      </c>
      <c r="M2" s="9" t="s">
        <v>53</v>
      </c>
      <c r="N2" s="9" t="s">
        <v>54</v>
      </c>
      <c r="O2" s="9">
        <v>0</v>
      </c>
      <c r="P2" s="9" t="str">
        <f ca="1">IF(M2="Completed","Green",IF(TODAY()&gt;H2,"Red",IF(AND(TODAY()+14&gt;H2,O2&lt;0.75),"Amber","Green")))</f>
        <v>Green</v>
      </c>
      <c r="Q2" s="9"/>
    </row>
    <row r="3" spans="1:17">
      <c r="A3" s="9" t="s">
        <v>55</v>
      </c>
      <c r="B3" s="9" t="s">
        <v>12</v>
      </c>
      <c r="C3" s="9" t="s">
        <v>13</v>
      </c>
      <c r="D3" s="9" t="s">
        <v>56</v>
      </c>
      <c r="E3" s="9" t="s">
        <v>57</v>
      </c>
      <c r="F3" s="9" t="s">
        <v>58</v>
      </c>
      <c r="G3" s="9">
        <v>46204</v>
      </c>
      <c r="H3" s="9">
        <v>46208</v>
      </c>
      <c r="I3" s="9">
        <f>H3-G3+1</f>
        <v>5</v>
      </c>
      <c r="J3" s="9" t="s">
        <v>59</v>
      </c>
      <c r="K3" s="9" t="s">
        <v>60</v>
      </c>
      <c r="L3" s="9" t="s">
        <v>61</v>
      </c>
      <c r="M3" s="9" t="s">
        <v>53</v>
      </c>
      <c r="N3" s="9" t="s">
        <v>54</v>
      </c>
      <c r="O3" s="9">
        <v>0</v>
      </c>
      <c r="P3" s="9" t="str">
        <f ca="1">IF(M3="Completed","Green",IF(TODAY()&gt;H3,"Red",IF(AND(TODAY()+14&gt;H3,O3&lt;0.75),"Amber","Green")))</f>
        <v>Green</v>
      </c>
      <c r="Q3" s="9"/>
    </row>
    <row r="4" spans="1:17">
      <c r="A4" s="9" t="s">
        <v>62</v>
      </c>
      <c r="B4" s="9" t="s">
        <v>12</v>
      </c>
      <c r="C4" s="9" t="s">
        <v>13</v>
      </c>
      <c r="D4" s="9" t="s">
        <v>63</v>
      </c>
      <c r="E4" s="9" t="s">
        <v>64</v>
      </c>
      <c r="F4" s="9" t="s">
        <v>65</v>
      </c>
      <c r="G4" s="9">
        <v>46207</v>
      </c>
      <c r="H4" s="9">
        <v>46213</v>
      </c>
      <c r="I4" s="9">
        <f>H4-G4+1</f>
        <v>7</v>
      </c>
      <c r="J4" s="9" t="s">
        <v>59</v>
      </c>
      <c r="K4" s="9" t="s">
        <v>66</v>
      </c>
      <c r="L4" s="9" t="s">
        <v>67</v>
      </c>
      <c r="M4" s="9" t="s">
        <v>53</v>
      </c>
      <c r="N4" s="9" t="s">
        <v>54</v>
      </c>
      <c r="O4" s="9">
        <v>0</v>
      </c>
      <c r="P4" s="9" t="str">
        <f ca="1">IF(M4="Completed","Green",IF(TODAY()&gt;H4,"Red",IF(AND(TODAY()+14&gt;H4,O4&lt;0.75),"Amber","Green")))</f>
        <v>Green</v>
      </c>
      <c r="Q4" s="9"/>
    </row>
    <row r="5" spans="1:17">
      <c r="A5" s="9" t="s">
        <v>68</v>
      </c>
      <c r="B5" s="9" t="s">
        <v>12</v>
      </c>
      <c r="C5" s="9" t="s">
        <v>13</v>
      </c>
      <c r="D5" s="9" t="s">
        <v>69</v>
      </c>
      <c r="E5" s="9" t="s">
        <v>57</v>
      </c>
      <c r="F5" s="9" t="s">
        <v>70</v>
      </c>
      <c r="G5" s="9">
        <v>46207</v>
      </c>
      <c r="H5" s="9">
        <v>46216</v>
      </c>
      <c r="I5" s="9">
        <f>H5-G5+1</f>
        <v>10</v>
      </c>
      <c r="J5" s="9" t="s">
        <v>59</v>
      </c>
      <c r="K5" s="9" t="s">
        <v>71</v>
      </c>
      <c r="L5" s="9" t="s">
        <v>72</v>
      </c>
      <c r="M5" s="9" t="s">
        <v>53</v>
      </c>
      <c r="N5" s="9" t="s">
        <v>54</v>
      </c>
      <c r="O5" s="9">
        <v>0</v>
      </c>
      <c r="P5" s="9" t="str">
        <f ca="1">IF(M5="Completed","Green",IF(TODAY()&gt;H5,"Red",IF(AND(TODAY()+14&gt;H5,O5&lt;0.75),"Amber","Green")))</f>
        <v>Green</v>
      </c>
      <c r="Q5" s="9"/>
    </row>
    <row r="6" spans="1:17">
      <c r="A6" s="9" t="s">
        <v>73</v>
      </c>
      <c r="B6" s="9" t="s">
        <v>12</v>
      </c>
      <c r="C6" s="9" t="s">
        <v>13</v>
      </c>
      <c r="D6" s="9" t="s">
        <v>74</v>
      </c>
      <c r="E6" s="9" t="s">
        <v>75</v>
      </c>
      <c r="F6" s="9" t="s">
        <v>76</v>
      </c>
      <c r="G6" s="9">
        <v>46211</v>
      </c>
      <c r="H6" s="9">
        <v>46220</v>
      </c>
      <c r="I6" s="9">
        <f>H6-G6+1</f>
        <v>10</v>
      </c>
      <c r="J6" s="9" t="s">
        <v>77</v>
      </c>
      <c r="K6" s="9" t="s">
        <v>78</v>
      </c>
      <c r="L6" s="9" t="s">
        <v>79</v>
      </c>
      <c r="M6" s="9" t="s">
        <v>53</v>
      </c>
      <c r="N6" s="9" t="s">
        <v>54</v>
      </c>
      <c r="O6" s="9">
        <v>0</v>
      </c>
      <c r="P6" s="9" t="str">
        <f ca="1">IF(M6="Completed","Green",IF(TODAY()&gt;H6,"Red",IF(AND(TODAY()+14&gt;H6,O6&lt;0.75),"Amber","Green")))</f>
        <v>Green</v>
      </c>
      <c r="Q6" s="9"/>
    </row>
    <row r="7" spans="1:17">
      <c r="A7" s="9" t="s">
        <v>80</v>
      </c>
      <c r="B7" s="9" t="s">
        <v>12</v>
      </c>
      <c r="C7" s="9" t="s">
        <v>13</v>
      </c>
      <c r="D7" s="9" t="s">
        <v>81</v>
      </c>
      <c r="E7" s="9" t="s">
        <v>82</v>
      </c>
      <c r="F7" s="9" t="s">
        <v>83</v>
      </c>
      <c r="G7" s="9">
        <v>46215</v>
      </c>
      <c r="H7" s="9">
        <v>46226</v>
      </c>
      <c r="I7" s="9">
        <f>H7-G7+1</f>
        <v>12</v>
      </c>
      <c r="J7" s="9" t="s">
        <v>84</v>
      </c>
      <c r="K7" s="9" t="s">
        <v>85</v>
      </c>
      <c r="L7" s="9" t="s">
        <v>86</v>
      </c>
      <c r="M7" s="9" t="s">
        <v>53</v>
      </c>
      <c r="N7" s="9" t="s">
        <v>54</v>
      </c>
      <c r="O7" s="9">
        <v>0</v>
      </c>
      <c r="P7" s="9" t="str">
        <f ca="1">IF(M7="Completed","Green",IF(TODAY()&gt;H7,"Red",IF(AND(TODAY()+14&gt;H7,O7&lt;0.75),"Amber","Green")))</f>
        <v>Green</v>
      </c>
      <c r="Q7" s="9"/>
    </row>
    <row r="8" spans="1:17">
      <c r="A8" s="9" t="s">
        <v>87</v>
      </c>
      <c r="B8" s="9" t="s">
        <v>12</v>
      </c>
      <c r="C8" s="9" t="s">
        <v>13</v>
      </c>
      <c r="D8" s="9" t="s">
        <v>88</v>
      </c>
      <c r="E8" s="9" t="s">
        <v>89</v>
      </c>
      <c r="F8" s="9" t="s">
        <v>90</v>
      </c>
      <c r="G8" s="9">
        <v>46218</v>
      </c>
      <c r="H8" s="9">
        <v>46227</v>
      </c>
      <c r="I8" s="9">
        <f>H8-G8+1</f>
        <v>10</v>
      </c>
      <c r="J8" s="9" t="s">
        <v>84</v>
      </c>
      <c r="K8" s="9" t="s">
        <v>91</v>
      </c>
      <c r="L8" s="9" t="s">
        <v>92</v>
      </c>
      <c r="M8" s="9" t="s">
        <v>53</v>
      </c>
      <c r="N8" s="9" t="s">
        <v>54</v>
      </c>
      <c r="O8" s="9">
        <v>0</v>
      </c>
      <c r="P8" s="9" t="str">
        <f ca="1">IF(M8="Completed","Green",IF(TODAY()&gt;H8,"Red",IF(AND(TODAY()+14&gt;H8,O8&lt;0.75),"Amber","Green")))</f>
        <v>Green</v>
      </c>
      <c r="Q8" s="9"/>
    </row>
    <row r="9" spans="1:17">
      <c r="A9" s="9" t="s">
        <v>93</v>
      </c>
      <c r="B9" s="9" t="s">
        <v>12</v>
      </c>
      <c r="C9" s="9" t="s">
        <v>13</v>
      </c>
      <c r="D9" s="9" t="s">
        <v>94</v>
      </c>
      <c r="E9" s="9" t="s">
        <v>57</v>
      </c>
      <c r="F9" s="9" t="s">
        <v>95</v>
      </c>
      <c r="G9" s="9">
        <v>46225</v>
      </c>
      <c r="H9" s="9">
        <v>46234</v>
      </c>
      <c r="I9" s="9">
        <f>H9-G9+1</f>
        <v>10</v>
      </c>
      <c r="J9" s="9" t="s">
        <v>96</v>
      </c>
      <c r="K9" s="9" t="s">
        <v>97</v>
      </c>
      <c r="L9" s="9" t="s">
        <v>98</v>
      </c>
      <c r="M9" s="9" t="s">
        <v>53</v>
      </c>
      <c r="N9" s="9" t="s">
        <v>54</v>
      </c>
      <c r="O9" s="9">
        <v>0</v>
      </c>
      <c r="P9" s="9" t="str">
        <f ca="1">IF(M9="Completed","Green",IF(TODAY()&gt;H9,"Red",IF(AND(TODAY()+14&gt;H9,O9&lt;0.75),"Amber","Green")))</f>
        <v>Green</v>
      </c>
      <c r="Q9" s="9"/>
    </row>
    <row r="10" spans="1:17">
      <c r="A10" s="9" t="s">
        <v>99</v>
      </c>
      <c r="B10" s="9" t="s">
        <v>12</v>
      </c>
      <c r="C10" s="9" t="s">
        <v>15</v>
      </c>
      <c r="D10" s="9" t="s">
        <v>100</v>
      </c>
      <c r="E10" s="9" t="s">
        <v>101</v>
      </c>
      <c r="F10" s="9" t="s">
        <v>58</v>
      </c>
      <c r="G10" s="9">
        <v>46234</v>
      </c>
      <c r="H10" s="9">
        <v>46248</v>
      </c>
      <c r="I10" s="9">
        <f>H10-G10+1</f>
        <v>15</v>
      </c>
      <c r="J10" s="9" t="s">
        <v>102</v>
      </c>
      <c r="K10" s="9" t="s">
        <v>103</v>
      </c>
      <c r="L10" s="9" t="s">
        <v>104</v>
      </c>
      <c r="M10" s="9" t="s">
        <v>53</v>
      </c>
      <c r="N10" s="9" t="s">
        <v>54</v>
      </c>
      <c r="O10" s="9">
        <v>0</v>
      </c>
      <c r="P10" s="9" t="str">
        <f ca="1">IF(M10="Completed","Green",IF(TODAY()&gt;H10,"Red",IF(AND(TODAY()+14&gt;H10,O10&lt;0.75),"Amber","Green")))</f>
        <v>Green</v>
      </c>
      <c r="Q10" s="9"/>
    </row>
    <row r="11" spans="1:17">
      <c r="A11" s="9" t="s">
        <v>105</v>
      </c>
      <c r="B11" s="9" t="s">
        <v>12</v>
      </c>
      <c r="C11" s="9" t="s">
        <v>15</v>
      </c>
      <c r="D11" s="9" t="s">
        <v>106</v>
      </c>
      <c r="E11" s="9" t="s">
        <v>75</v>
      </c>
      <c r="F11" s="9" t="s">
        <v>76</v>
      </c>
      <c r="G11" s="9">
        <v>46234</v>
      </c>
      <c r="H11" s="9">
        <v>46253</v>
      </c>
      <c r="I11" s="9">
        <f>H11-G11+1</f>
        <v>20</v>
      </c>
      <c r="J11" s="9" t="s">
        <v>107</v>
      </c>
      <c r="K11" s="9" t="s">
        <v>108</v>
      </c>
      <c r="L11" s="9" t="s">
        <v>109</v>
      </c>
      <c r="M11" s="9" t="s">
        <v>53</v>
      </c>
      <c r="N11" s="9" t="s">
        <v>54</v>
      </c>
      <c r="O11" s="9">
        <v>0</v>
      </c>
      <c r="P11" s="9" t="str">
        <f ca="1">IF(M11="Completed","Green",IF(TODAY()&gt;H11,"Red",IF(AND(TODAY()+14&gt;H11,O11&lt;0.75),"Amber","Green")))</f>
        <v>Green</v>
      </c>
      <c r="Q11" s="9"/>
    </row>
    <row r="12" spans="1:17">
      <c r="A12" s="9" t="s">
        <v>110</v>
      </c>
      <c r="B12" s="9" t="s">
        <v>12</v>
      </c>
      <c r="C12" s="9" t="s">
        <v>15</v>
      </c>
      <c r="D12" s="9" t="s">
        <v>111</v>
      </c>
      <c r="E12" s="9" t="s">
        <v>57</v>
      </c>
      <c r="F12" s="9" t="s">
        <v>95</v>
      </c>
      <c r="G12" s="9">
        <v>46243</v>
      </c>
      <c r="H12" s="9">
        <v>46257</v>
      </c>
      <c r="I12" s="9">
        <f>H12-G12+1</f>
        <v>15</v>
      </c>
      <c r="J12" s="9" t="s">
        <v>112</v>
      </c>
      <c r="K12" s="9" t="s">
        <v>113</v>
      </c>
      <c r="L12" s="9" t="s">
        <v>114</v>
      </c>
      <c r="M12" s="9" t="s">
        <v>53</v>
      </c>
      <c r="N12" s="9" t="s">
        <v>54</v>
      </c>
      <c r="O12" s="9">
        <v>0</v>
      </c>
      <c r="P12" s="9" t="str">
        <f ca="1">IF(M12="Completed","Green",IF(TODAY()&gt;H12,"Red",IF(AND(TODAY()+14&gt;H12,O12&lt;0.75),"Amber","Green")))</f>
        <v>Green</v>
      </c>
      <c r="Q12" s="9"/>
    </row>
    <row r="13" spans="1:17">
      <c r="A13" s="9" t="s">
        <v>115</v>
      </c>
      <c r="B13" s="9" t="s">
        <v>12</v>
      </c>
      <c r="C13" s="9" t="s">
        <v>15</v>
      </c>
      <c r="D13" s="9" t="s">
        <v>116</v>
      </c>
      <c r="E13" s="9" t="s">
        <v>82</v>
      </c>
      <c r="F13" s="9" t="s">
        <v>83</v>
      </c>
      <c r="G13" s="9">
        <v>46248</v>
      </c>
      <c r="H13" s="9">
        <v>46262</v>
      </c>
      <c r="I13" s="9">
        <f>H13-G13+1</f>
        <v>15</v>
      </c>
      <c r="J13" s="9" t="s">
        <v>117</v>
      </c>
      <c r="K13" s="9" t="s">
        <v>118</v>
      </c>
      <c r="L13" s="9" t="s">
        <v>119</v>
      </c>
      <c r="M13" s="9" t="s">
        <v>53</v>
      </c>
      <c r="N13" s="9" t="s">
        <v>54</v>
      </c>
      <c r="O13" s="9">
        <v>0</v>
      </c>
      <c r="P13" s="9" t="str">
        <f ca="1">IF(M13="Completed","Green",IF(TODAY()&gt;H13,"Red",IF(AND(TODAY()+14&gt;H13,O13&lt;0.75),"Amber","Green")))</f>
        <v>Green</v>
      </c>
      <c r="Q13" s="9"/>
    </row>
    <row r="14" spans="1:17">
      <c r="A14" s="9" t="s">
        <v>120</v>
      </c>
      <c r="B14" s="9" t="s">
        <v>12</v>
      </c>
      <c r="C14" s="9" t="s">
        <v>17</v>
      </c>
      <c r="D14" s="9" t="s">
        <v>121</v>
      </c>
      <c r="E14" s="9" t="s">
        <v>57</v>
      </c>
      <c r="F14" s="9" t="s">
        <v>90</v>
      </c>
      <c r="G14" s="9">
        <v>46264</v>
      </c>
      <c r="H14" s="9">
        <v>46283</v>
      </c>
      <c r="I14" s="9">
        <f>H14-G14+1</f>
        <v>20</v>
      </c>
      <c r="J14" s="9" t="s">
        <v>122</v>
      </c>
      <c r="K14" s="9" t="s">
        <v>123</v>
      </c>
      <c r="L14" s="9" t="s">
        <v>124</v>
      </c>
      <c r="M14" s="9" t="s">
        <v>53</v>
      </c>
      <c r="N14" s="9" t="s">
        <v>54</v>
      </c>
      <c r="O14" s="9">
        <v>0</v>
      </c>
      <c r="P14" s="9" t="str">
        <f ca="1">IF(M14="Completed","Green",IF(TODAY()&gt;H14,"Red",IF(AND(TODAY()+14&gt;H14,O14&lt;0.75),"Amber","Green")))</f>
        <v>Green</v>
      </c>
      <c r="Q14" s="9"/>
    </row>
    <row r="15" spans="1:17">
      <c r="A15" s="9" t="s">
        <v>125</v>
      </c>
      <c r="B15" s="9" t="s">
        <v>12</v>
      </c>
      <c r="C15" s="9" t="s">
        <v>17</v>
      </c>
      <c r="D15" s="9" t="s">
        <v>126</v>
      </c>
      <c r="E15" s="9" t="s">
        <v>49</v>
      </c>
      <c r="F15" s="9" t="s">
        <v>127</v>
      </c>
      <c r="G15" s="9">
        <v>46264</v>
      </c>
      <c r="H15" s="9">
        <v>46288</v>
      </c>
      <c r="I15" s="9">
        <f>H15-G15+1</f>
        <v>25</v>
      </c>
      <c r="J15" s="9" t="s">
        <v>128</v>
      </c>
      <c r="K15" s="9" t="s">
        <v>129</v>
      </c>
      <c r="L15" s="9" t="s">
        <v>130</v>
      </c>
      <c r="M15" s="9" t="s">
        <v>53</v>
      </c>
      <c r="N15" s="9" t="s">
        <v>54</v>
      </c>
      <c r="O15" s="9">
        <v>0</v>
      </c>
      <c r="P15" s="9" t="str">
        <f ca="1">IF(M15="Completed","Green",IF(TODAY()&gt;H15,"Red",IF(AND(TODAY()+14&gt;H15,O15&lt;0.75),"Amber","Green")))</f>
        <v>Green</v>
      </c>
      <c r="Q15" s="9"/>
    </row>
    <row r="16" spans="1:17">
      <c r="A16" s="9" t="s">
        <v>131</v>
      </c>
      <c r="B16" s="9" t="s">
        <v>12</v>
      </c>
      <c r="C16" s="9" t="s">
        <v>17</v>
      </c>
      <c r="D16" s="9" t="s">
        <v>132</v>
      </c>
      <c r="E16" s="9" t="s">
        <v>49</v>
      </c>
      <c r="F16" s="9" t="s">
        <v>50</v>
      </c>
      <c r="G16" s="9">
        <v>46278</v>
      </c>
      <c r="H16" s="9">
        <v>46292</v>
      </c>
      <c r="I16" s="9">
        <f>H16-G16+1</f>
        <v>15</v>
      </c>
      <c r="J16" s="9" t="s">
        <v>133</v>
      </c>
      <c r="K16" s="9" t="s">
        <v>134</v>
      </c>
      <c r="L16" s="9" t="s">
        <v>135</v>
      </c>
      <c r="M16" s="9" t="s">
        <v>53</v>
      </c>
      <c r="N16" s="9" t="s">
        <v>54</v>
      </c>
      <c r="O16" s="9">
        <v>0</v>
      </c>
      <c r="P16" s="9" t="str">
        <f ca="1">IF(M16="Completed","Green",IF(TODAY()&gt;H16,"Red",IF(AND(TODAY()+14&gt;H16,O16&lt;0.75),"Amber","Green")))</f>
        <v>Green</v>
      </c>
      <c r="Q16" s="9"/>
    </row>
    <row r="17" spans="1:17">
      <c r="A17" s="9" t="s">
        <v>136</v>
      </c>
      <c r="B17" s="9" t="s">
        <v>12</v>
      </c>
      <c r="C17" s="9" t="s">
        <v>19</v>
      </c>
      <c r="D17" s="9" t="s">
        <v>137</v>
      </c>
      <c r="E17" s="9" t="s">
        <v>101</v>
      </c>
      <c r="F17" s="9" t="s">
        <v>58</v>
      </c>
      <c r="G17" s="9">
        <v>46294</v>
      </c>
      <c r="H17" s="9">
        <v>46323</v>
      </c>
      <c r="I17" s="9">
        <f>H17-G17+1</f>
        <v>30</v>
      </c>
      <c r="J17" s="9" t="s">
        <v>138</v>
      </c>
      <c r="K17" s="9" t="s">
        <v>139</v>
      </c>
      <c r="L17" s="9" t="s">
        <v>140</v>
      </c>
      <c r="M17" s="9" t="s">
        <v>53</v>
      </c>
      <c r="N17" s="9" t="s">
        <v>54</v>
      </c>
      <c r="O17" s="9">
        <v>0</v>
      </c>
      <c r="P17" s="9" t="str">
        <f ca="1">IF(M17="Completed","Green",IF(TODAY()&gt;H17,"Red",IF(AND(TODAY()+14&gt;H17,O17&lt;0.75),"Amber","Green")))</f>
        <v>Green</v>
      </c>
      <c r="Q17" s="9"/>
    </row>
    <row r="18" spans="1:17">
      <c r="A18" s="9" t="s">
        <v>141</v>
      </c>
      <c r="B18" s="9" t="s">
        <v>12</v>
      </c>
      <c r="C18" s="9" t="s">
        <v>19</v>
      </c>
      <c r="D18" s="9" t="s">
        <v>142</v>
      </c>
      <c r="E18" s="9" t="s">
        <v>143</v>
      </c>
      <c r="F18" s="9" t="s">
        <v>95</v>
      </c>
      <c r="G18" s="9">
        <v>46303</v>
      </c>
      <c r="H18" s="9">
        <v>46347</v>
      </c>
      <c r="I18" s="9">
        <f>H18-G18+1</f>
        <v>45</v>
      </c>
      <c r="J18" s="9" t="s">
        <v>144</v>
      </c>
      <c r="K18" s="9" t="s">
        <v>145</v>
      </c>
      <c r="L18" s="9" t="s">
        <v>146</v>
      </c>
      <c r="M18" s="9" t="s">
        <v>53</v>
      </c>
      <c r="N18" s="9" t="s">
        <v>54</v>
      </c>
      <c r="O18" s="9">
        <v>0</v>
      </c>
      <c r="P18" s="9" t="str">
        <f ca="1">IF(M18="Completed","Green",IF(TODAY()&gt;H18,"Red",IF(AND(TODAY()+14&gt;H18,O18&lt;0.75),"Amber","Green")))</f>
        <v>Green</v>
      </c>
      <c r="Q18" s="9"/>
    </row>
    <row r="19" spans="1:17">
      <c r="A19" s="9" t="s">
        <v>147</v>
      </c>
      <c r="B19" s="9" t="s">
        <v>12</v>
      </c>
      <c r="C19" s="9" t="s">
        <v>19</v>
      </c>
      <c r="D19" s="9" t="s">
        <v>148</v>
      </c>
      <c r="E19" s="9" t="s">
        <v>49</v>
      </c>
      <c r="F19" s="9" t="s">
        <v>50</v>
      </c>
      <c r="G19" s="9">
        <v>46323</v>
      </c>
      <c r="H19" s="9">
        <v>46367</v>
      </c>
      <c r="I19" s="9">
        <f>H19-G19+1</f>
        <v>45</v>
      </c>
      <c r="J19" s="9" t="s">
        <v>149</v>
      </c>
      <c r="K19" s="9" t="s">
        <v>150</v>
      </c>
      <c r="L19" s="9" t="s">
        <v>151</v>
      </c>
      <c r="M19" s="9" t="s">
        <v>53</v>
      </c>
      <c r="N19" s="9" t="s">
        <v>54</v>
      </c>
      <c r="O19" s="9">
        <v>0</v>
      </c>
      <c r="P19" s="9" t="str">
        <f ca="1">IF(M19="Completed","Green",IF(TODAY()&gt;H19,"Red",IF(AND(TODAY()+14&gt;H19,O19&lt;0.75),"Amber","Green")))</f>
        <v>Green</v>
      </c>
      <c r="Q19" s="9"/>
    </row>
    <row r="20" spans="1:17">
      <c r="A20" s="9" t="s">
        <v>152</v>
      </c>
      <c r="B20" s="9" t="s">
        <v>12</v>
      </c>
      <c r="C20" s="9" t="s">
        <v>19</v>
      </c>
      <c r="D20" s="9" t="s">
        <v>153</v>
      </c>
      <c r="E20" s="9" t="s">
        <v>57</v>
      </c>
      <c r="F20" s="9" t="s">
        <v>50</v>
      </c>
      <c r="G20" s="9">
        <v>46353</v>
      </c>
      <c r="H20" s="9">
        <v>46382</v>
      </c>
      <c r="I20" s="9">
        <f>H20-G20+1</f>
        <v>30</v>
      </c>
      <c r="J20" s="9" t="s">
        <v>154</v>
      </c>
      <c r="K20" s="9" t="s">
        <v>155</v>
      </c>
      <c r="L20" s="9" t="s">
        <v>156</v>
      </c>
      <c r="M20" s="9" t="s">
        <v>53</v>
      </c>
      <c r="N20" s="9" t="s">
        <v>54</v>
      </c>
      <c r="O20" s="9">
        <v>0</v>
      </c>
      <c r="P20" s="9" t="str">
        <f ca="1">IF(M20="Completed","Green",IF(TODAY()&gt;H20,"Red",IF(AND(TODAY()+14&gt;H20,O20&lt;0.75),"Amber","Green")))</f>
        <v>Green</v>
      </c>
      <c r="Q20" s="9"/>
    </row>
    <row r="21" spans="1:1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</sheetData>
  <conditionalFormatting sqref="O2:O250">
    <cfRule type="dataBar" priority="1">
      <dataBar>
        <cfvo type="min"/>
        <cfvo type="max"/>
        <color rgb="FF70AD47"/>
      </dataBar>
    </cfRule>
  </conditionalFormatting>
  <conditionalFormatting sqref="P2:P250">
    <cfRule type="expression" dxfId="20" priority="2">
      <formula>P2="Red"</formula>
    </cfRule>
    <cfRule type="expression" dxfId="19" priority="3">
      <formula>P2="Amber"</formula>
    </cfRule>
    <cfRule type="expression" dxfId="18" priority="4">
      <formula>P2="Green"</formula>
    </cfRule>
  </conditionalFormatting>
  <conditionalFormatting sqref="O2:O250">
    <cfRule type="dataBar" priority="5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{44CDDB6C-0F39-5810-B159-A72DA71A9888}</x14:id>
        </ext>
      </extLst>
    </cfRule>
  </conditionalFormatting>
  <dataValidations count="2">
    <dataValidation type="list" sqref="M2:M250" xr:uid="{00000000-0002-0000-0200-000000000000}">
      <formula1>"Not Started,In Progress,Blocked,At Risk,Completed"</formula1>
    </dataValidation>
    <dataValidation type="list" sqref="N2:N250" xr:uid="{00000000-0002-0000-0200-000001000000}">
      <formula1>"Critical,High,Medium,Low"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CDDB6C-0F39-5810-B159-A72DA71A9888}">
            <x14:dataBar>
              <x14:cfvo type="min"/>
              <x14:cfvo type="max"/>
              <x14:negativeFillColor auto="1"/>
              <x14:axisColor auto="1"/>
            </x14:dataBar>
          </x14:cfRule>
          <xm:sqref>O2:O250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0"/>
  <sheetViews>
    <sheetView topLeftCell="B1" zoomScaleNormal="100" zoomScaleSheetLayoutView="100" workbookViewId="0"/>
  </sheetViews>
  <sheetFormatPr defaultRowHeight="15"/>
  <cols>
    <col min="1" max="1" width="10" customWidth="1"/>
    <col min="2" max="2" width="22" customWidth="1"/>
    <col min="3" max="3" width="24" customWidth="1"/>
    <col min="4" max="4" width="48" customWidth="1"/>
    <col min="5" max="6" width="24" customWidth="1"/>
    <col min="7" max="9" width="12" customWidth="1"/>
    <col min="10" max="10" width="18" customWidth="1"/>
    <col min="11" max="11" width="30" customWidth="1"/>
    <col min="12" max="12" width="38" customWidth="1"/>
    <col min="13" max="14" width="14" customWidth="1"/>
    <col min="15" max="16" width="12" customWidth="1"/>
    <col min="17" max="17" width="34" customWidth="1"/>
  </cols>
  <sheetData>
    <row r="1" spans="1:17" ht="32.1" customHeight="1">
      <c r="A1" s="6" t="s">
        <v>32</v>
      </c>
      <c r="B1" s="6" t="s">
        <v>7</v>
      </c>
      <c r="C1" s="6" t="s">
        <v>11</v>
      </c>
      <c r="D1" s="6" t="s">
        <v>33</v>
      </c>
      <c r="E1" s="6" t="s">
        <v>34</v>
      </c>
      <c r="F1" s="6" t="s">
        <v>35</v>
      </c>
      <c r="G1" s="7" t="s">
        <v>36</v>
      </c>
      <c r="H1" s="7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8" t="s">
        <v>44</v>
      </c>
      <c r="P1" s="6" t="s">
        <v>45</v>
      </c>
      <c r="Q1" s="6" t="s">
        <v>46</v>
      </c>
    </row>
    <row r="2" spans="1:17">
      <c r="A2" s="9" t="s">
        <v>157</v>
      </c>
      <c r="B2" s="9" t="s">
        <v>14</v>
      </c>
      <c r="C2" s="9" t="s">
        <v>13</v>
      </c>
      <c r="D2" s="9" t="s">
        <v>158</v>
      </c>
      <c r="E2" s="9" t="s">
        <v>159</v>
      </c>
      <c r="F2" s="9" t="s">
        <v>160</v>
      </c>
      <c r="G2" s="9">
        <v>46204</v>
      </c>
      <c r="H2" s="9">
        <v>46208</v>
      </c>
      <c r="I2" s="9">
        <f>H2-G2+1</f>
        <v>5</v>
      </c>
      <c r="J2" s="9"/>
      <c r="K2" s="9" t="s">
        <v>161</v>
      </c>
      <c r="L2" s="9" t="s">
        <v>162</v>
      </c>
      <c r="M2" s="9" t="s">
        <v>53</v>
      </c>
      <c r="N2" s="9" t="s">
        <v>54</v>
      </c>
      <c r="O2" s="9">
        <v>0</v>
      </c>
      <c r="P2" s="9" t="str">
        <f ca="1">IF(M2="Completed","Green",IF(TODAY()&gt;H2,"Red",IF(AND(TODAY()+14&gt;H2,O2&lt;0.75),"Amber","Green")))</f>
        <v>Green</v>
      </c>
      <c r="Q2" s="9"/>
    </row>
    <row r="3" spans="1:17">
      <c r="A3" s="9" t="s">
        <v>163</v>
      </c>
      <c r="B3" s="9" t="s">
        <v>14</v>
      </c>
      <c r="C3" s="9" t="s">
        <v>13</v>
      </c>
      <c r="D3" s="9" t="s">
        <v>164</v>
      </c>
      <c r="E3" s="9" t="s">
        <v>165</v>
      </c>
      <c r="F3" s="9" t="s">
        <v>160</v>
      </c>
      <c r="G3" s="9">
        <v>46207</v>
      </c>
      <c r="H3" s="9">
        <v>46214</v>
      </c>
      <c r="I3" s="9">
        <f>H3-G3+1</f>
        <v>8</v>
      </c>
      <c r="J3" s="9" t="s">
        <v>157</v>
      </c>
      <c r="K3" s="9" t="s">
        <v>166</v>
      </c>
      <c r="L3" s="9" t="s">
        <v>167</v>
      </c>
      <c r="M3" s="9" t="s">
        <v>53</v>
      </c>
      <c r="N3" s="9" t="s">
        <v>54</v>
      </c>
      <c r="O3" s="9">
        <v>0</v>
      </c>
      <c r="P3" s="9" t="str">
        <f ca="1">IF(M3="Completed","Green",IF(TODAY()&gt;H3,"Red",IF(AND(TODAY()+14&gt;H3,O3&lt;0.75),"Amber","Green")))</f>
        <v>Green</v>
      </c>
      <c r="Q3" s="9"/>
    </row>
    <row r="4" spans="1:17">
      <c r="A4" s="9" t="s">
        <v>168</v>
      </c>
      <c r="B4" s="9" t="s">
        <v>14</v>
      </c>
      <c r="C4" s="9" t="s">
        <v>13</v>
      </c>
      <c r="D4" s="9" t="s">
        <v>169</v>
      </c>
      <c r="E4" s="9" t="s">
        <v>159</v>
      </c>
      <c r="F4" s="9" t="s">
        <v>160</v>
      </c>
      <c r="G4" s="9">
        <v>46211</v>
      </c>
      <c r="H4" s="9">
        <v>46220</v>
      </c>
      <c r="I4" s="9">
        <f>H4-G4+1</f>
        <v>10</v>
      </c>
      <c r="J4" s="9" t="s">
        <v>163</v>
      </c>
      <c r="K4" s="9" t="s">
        <v>170</v>
      </c>
      <c r="L4" s="9" t="s">
        <v>171</v>
      </c>
      <c r="M4" s="9" t="s">
        <v>53</v>
      </c>
      <c r="N4" s="9" t="s">
        <v>54</v>
      </c>
      <c r="O4" s="9">
        <v>0</v>
      </c>
      <c r="P4" s="9" t="str">
        <f ca="1">IF(M4="Completed","Green",IF(TODAY()&gt;H4,"Red",IF(AND(TODAY()+14&gt;H4,O4&lt;0.75),"Amber","Green")))</f>
        <v>Green</v>
      </c>
      <c r="Q4" s="9"/>
    </row>
    <row r="5" spans="1:17">
      <c r="A5" s="9" t="s">
        <v>172</v>
      </c>
      <c r="B5" s="9" t="s">
        <v>14</v>
      </c>
      <c r="C5" s="9" t="s">
        <v>13</v>
      </c>
      <c r="D5" s="9" t="s">
        <v>173</v>
      </c>
      <c r="E5" s="9" t="s">
        <v>174</v>
      </c>
      <c r="F5" s="9" t="s">
        <v>175</v>
      </c>
      <c r="G5" s="9">
        <v>46215</v>
      </c>
      <c r="H5" s="9">
        <v>46226</v>
      </c>
      <c r="I5" s="9">
        <f>H5-G5+1</f>
        <v>12</v>
      </c>
      <c r="J5" s="9" t="s">
        <v>163</v>
      </c>
      <c r="K5" s="9" t="s">
        <v>176</v>
      </c>
      <c r="L5" s="9" t="s">
        <v>177</v>
      </c>
      <c r="M5" s="9" t="s">
        <v>53</v>
      </c>
      <c r="N5" s="9" t="s">
        <v>54</v>
      </c>
      <c r="O5" s="9">
        <v>0</v>
      </c>
      <c r="P5" s="9" t="str">
        <f ca="1">IF(M5="Completed","Green",IF(TODAY()&gt;H5,"Red",IF(AND(TODAY()+14&gt;H5,O5&lt;0.75),"Amber","Green")))</f>
        <v>Green</v>
      </c>
      <c r="Q5" s="9"/>
    </row>
    <row r="6" spans="1:17">
      <c r="A6" s="9" t="s">
        <v>178</v>
      </c>
      <c r="B6" s="9" t="s">
        <v>14</v>
      </c>
      <c r="C6" s="9" t="s">
        <v>13</v>
      </c>
      <c r="D6" s="9" t="s">
        <v>179</v>
      </c>
      <c r="E6" s="9" t="s">
        <v>165</v>
      </c>
      <c r="F6" s="9" t="s">
        <v>180</v>
      </c>
      <c r="G6" s="9">
        <v>46219</v>
      </c>
      <c r="H6" s="9">
        <v>46233</v>
      </c>
      <c r="I6" s="9">
        <f>H6-G6+1</f>
        <v>15</v>
      </c>
      <c r="J6" s="9" t="s">
        <v>168</v>
      </c>
      <c r="K6" s="9" t="s">
        <v>181</v>
      </c>
      <c r="L6" s="9" t="s">
        <v>182</v>
      </c>
      <c r="M6" s="9" t="s">
        <v>53</v>
      </c>
      <c r="N6" s="9" t="s">
        <v>54</v>
      </c>
      <c r="O6" s="9">
        <v>0</v>
      </c>
      <c r="P6" s="9" t="str">
        <f ca="1">IF(M6="Completed","Green",IF(TODAY()&gt;H6,"Red",IF(AND(TODAY()+14&gt;H6,O6&lt;0.75),"Amber","Green")))</f>
        <v>Green</v>
      </c>
      <c r="Q6" s="9"/>
    </row>
    <row r="7" spans="1:17">
      <c r="A7" s="9" t="s">
        <v>183</v>
      </c>
      <c r="B7" s="9" t="s">
        <v>14</v>
      </c>
      <c r="C7" s="9" t="s">
        <v>13</v>
      </c>
      <c r="D7" s="9" t="s">
        <v>184</v>
      </c>
      <c r="E7" s="9" t="s">
        <v>185</v>
      </c>
      <c r="F7" s="9" t="s">
        <v>186</v>
      </c>
      <c r="G7" s="9">
        <v>46223</v>
      </c>
      <c r="H7" s="9">
        <v>46237</v>
      </c>
      <c r="I7" s="9">
        <f>H7-G7+1</f>
        <v>15</v>
      </c>
      <c r="J7" s="9" t="s">
        <v>168</v>
      </c>
      <c r="K7" s="9" t="s">
        <v>187</v>
      </c>
      <c r="L7" s="9" t="s">
        <v>188</v>
      </c>
      <c r="M7" s="9" t="s">
        <v>53</v>
      </c>
      <c r="N7" s="9" t="s">
        <v>54</v>
      </c>
      <c r="O7" s="9">
        <v>0</v>
      </c>
      <c r="P7" s="9" t="str">
        <f ca="1">IF(M7="Completed","Green",IF(TODAY()&gt;H7,"Red",IF(AND(TODAY()+14&gt;H7,O7&lt;0.75),"Amber","Green")))</f>
        <v>Green</v>
      </c>
      <c r="Q7" s="9"/>
    </row>
    <row r="8" spans="1:17">
      <c r="A8" s="9" t="s">
        <v>189</v>
      </c>
      <c r="B8" s="9" t="s">
        <v>14</v>
      </c>
      <c r="C8" s="9" t="s">
        <v>13</v>
      </c>
      <c r="D8" s="9" t="s">
        <v>190</v>
      </c>
      <c r="E8" s="9" t="s">
        <v>165</v>
      </c>
      <c r="F8" s="9" t="s">
        <v>191</v>
      </c>
      <c r="G8" s="9">
        <v>46228</v>
      </c>
      <c r="H8" s="9">
        <v>46237</v>
      </c>
      <c r="I8" s="9">
        <f>H8-G8+1</f>
        <v>10</v>
      </c>
      <c r="J8" s="9" t="s">
        <v>172</v>
      </c>
      <c r="K8" s="9" t="s">
        <v>192</v>
      </c>
      <c r="L8" s="9" t="s">
        <v>193</v>
      </c>
      <c r="M8" s="9" t="s">
        <v>53</v>
      </c>
      <c r="N8" s="9" t="s">
        <v>54</v>
      </c>
      <c r="O8" s="9">
        <v>0</v>
      </c>
      <c r="P8" s="9" t="str">
        <f ca="1">IF(M8="Completed","Green",IF(TODAY()&gt;H8,"Red",IF(AND(TODAY()+14&gt;H8,O8&lt;0.75),"Amber","Green")))</f>
        <v>Green</v>
      </c>
      <c r="Q8" s="9"/>
    </row>
    <row r="9" spans="1:17">
      <c r="A9" s="9" t="s">
        <v>194</v>
      </c>
      <c r="B9" s="9" t="s">
        <v>14</v>
      </c>
      <c r="C9" s="9" t="s">
        <v>15</v>
      </c>
      <c r="D9" s="9" t="s">
        <v>195</v>
      </c>
      <c r="E9" s="9" t="s">
        <v>159</v>
      </c>
      <c r="F9" s="9" t="s">
        <v>160</v>
      </c>
      <c r="G9" s="9">
        <v>46234</v>
      </c>
      <c r="H9" s="9">
        <v>46248</v>
      </c>
      <c r="I9" s="9">
        <f>H9-G9+1</f>
        <v>15</v>
      </c>
      <c r="J9" s="9" t="s">
        <v>196</v>
      </c>
      <c r="K9" s="9" t="s">
        <v>197</v>
      </c>
      <c r="L9" s="9" t="s">
        <v>198</v>
      </c>
      <c r="M9" s="9" t="s">
        <v>53</v>
      </c>
      <c r="N9" s="9" t="s">
        <v>54</v>
      </c>
      <c r="O9" s="9">
        <v>0</v>
      </c>
      <c r="P9" s="9" t="str">
        <f ca="1">IF(M9="Completed","Green",IF(TODAY()&gt;H9,"Red",IF(AND(TODAY()+14&gt;H9,O9&lt;0.75),"Amber","Green")))</f>
        <v>Green</v>
      </c>
      <c r="Q9" s="9"/>
    </row>
    <row r="10" spans="1:17">
      <c r="A10" s="9" t="s">
        <v>199</v>
      </c>
      <c r="B10" s="9" t="s">
        <v>14</v>
      </c>
      <c r="C10" s="9" t="s">
        <v>15</v>
      </c>
      <c r="D10" s="9" t="s">
        <v>200</v>
      </c>
      <c r="E10" s="9" t="s">
        <v>201</v>
      </c>
      <c r="F10" s="9" t="s">
        <v>160</v>
      </c>
      <c r="G10" s="9">
        <v>46238</v>
      </c>
      <c r="H10" s="9">
        <v>46257</v>
      </c>
      <c r="I10" s="9">
        <f>H10-G10+1</f>
        <v>20</v>
      </c>
      <c r="J10" s="9" t="s">
        <v>172</v>
      </c>
      <c r="K10" s="9" t="s">
        <v>202</v>
      </c>
      <c r="L10" s="9" t="s">
        <v>203</v>
      </c>
      <c r="M10" s="9" t="s">
        <v>53</v>
      </c>
      <c r="N10" s="9" t="s">
        <v>54</v>
      </c>
      <c r="O10" s="9">
        <v>0</v>
      </c>
      <c r="P10" s="9" t="str">
        <f ca="1">IF(M10="Completed","Green",IF(TODAY()&gt;H10,"Red",IF(AND(TODAY()+14&gt;H10,O10&lt;0.75),"Amber","Green")))</f>
        <v>Green</v>
      </c>
      <c r="Q10" s="9"/>
    </row>
    <row r="11" spans="1:17">
      <c r="A11" s="9" t="s">
        <v>204</v>
      </c>
      <c r="B11" s="9" t="s">
        <v>14</v>
      </c>
      <c r="C11" s="9" t="s">
        <v>15</v>
      </c>
      <c r="D11" s="9" t="s">
        <v>205</v>
      </c>
      <c r="E11" s="9" t="s">
        <v>206</v>
      </c>
      <c r="F11" s="9" t="s">
        <v>90</v>
      </c>
      <c r="G11" s="9">
        <v>46243</v>
      </c>
      <c r="H11" s="9">
        <v>46262</v>
      </c>
      <c r="I11" s="9">
        <f>H11-G11+1</f>
        <v>20</v>
      </c>
      <c r="J11" s="9" t="s">
        <v>178</v>
      </c>
      <c r="K11" s="9" t="s">
        <v>207</v>
      </c>
      <c r="L11" s="9" t="s">
        <v>208</v>
      </c>
      <c r="M11" s="9" t="s">
        <v>53</v>
      </c>
      <c r="N11" s="9" t="s">
        <v>54</v>
      </c>
      <c r="O11" s="9">
        <v>0</v>
      </c>
      <c r="P11" s="9" t="str">
        <f ca="1">IF(M11="Completed","Green",IF(TODAY()&gt;H11,"Red",IF(AND(TODAY()+14&gt;H11,O11&lt;0.75),"Amber","Green")))</f>
        <v>Green</v>
      </c>
      <c r="Q11" s="9"/>
    </row>
    <row r="12" spans="1:17">
      <c r="A12" s="9" t="s">
        <v>209</v>
      </c>
      <c r="B12" s="9" t="s">
        <v>14</v>
      </c>
      <c r="C12" s="9" t="s">
        <v>15</v>
      </c>
      <c r="D12" s="9" t="s">
        <v>210</v>
      </c>
      <c r="E12" s="9" t="s">
        <v>206</v>
      </c>
      <c r="F12" s="9" t="s">
        <v>211</v>
      </c>
      <c r="G12" s="9">
        <v>46248</v>
      </c>
      <c r="H12" s="9">
        <v>46267</v>
      </c>
      <c r="I12" s="9">
        <f>H12-G12+1</f>
        <v>20</v>
      </c>
      <c r="J12" s="9" t="s">
        <v>212</v>
      </c>
      <c r="K12" s="9" t="s">
        <v>213</v>
      </c>
      <c r="L12" s="9" t="s">
        <v>214</v>
      </c>
      <c r="M12" s="9" t="s">
        <v>53</v>
      </c>
      <c r="N12" s="9" t="s">
        <v>54</v>
      </c>
      <c r="O12" s="9">
        <v>0</v>
      </c>
      <c r="P12" s="9" t="str">
        <f ca="1">IF(M12="Completed","Green",IF(TODAY()&gt;H12,"Red",IF(AND(TODAY()+14&gt;H12,O12&lt;0.75),"Amber","Green")))</f>
        <v>Green</v>
      </c>
      <c r="Q12" s="9"/>
    </row>
    <row r="13" spans="1:17">
      <c r="A13" s="9" t="s">
        <v>215</v>
      </c>
      <c r="B13" s="9" t="s">
        <v>14</v>
      </c>
      <c r="C13" s="9" t="s">
        <v>15</v>
      </c>
      <c r="D13" s="9" t="s">
        <v>216</v>
      </c>
      <c r="E13" s="9" t="s">
        <v>206</v>
      </c>
      <c r="F13" s="9" t="s">
        <v>160</v>
      </c>
      <c r="G13" s="9">
        <v>46258</v>
      </c>
      <c r="H13" s="9">
        <v>46272</v>
      </c>
      <c r="I13" s="9">
        <f>H13-G13+1</f>
        <v>15</v>
      </c>
      <c r="J13" s="9" t="s">
        <v>217</v>
      </c>
      <c r="K13" s="9" t="s">
        <v>218</v>
      </c>
      <c r="L13" s="9" t="s">
        <v>219</v>
      </c>
      <c r="M13" s="9" t="s">
        <v>53</v>
      </c>
      <c r="N13" s="9" t="s">
        <v>54</v>
      </c>
      <c r="O13" s="9">
        <v>0</v>
      </c>
      <c r="P13" s="9" t="str">
        <f ca="1">IF(M13="Completed","Green",IF(TODAY()&gt;H13,"Red",IF(AND(TODAY()+14&gt;H13,O13&lt;0.75),"Amber","Green")))</f>
        <v>Green</v>
      </c>
      <c r="Q13" s="9"/>
    </row>
    <row r="14" spans="1:17">
      <c r="A14" s="9" t="s">
        <v>220</v>
      </c>
      <c r="B14" s="9" t="s">
        <v>14</v>
      </c>
      <c r="C14" s="9" t="s">
        <v>17</v>
      </c>
      <c r="D14" s="9" t="s">
        <v>221</v>
      </c>
      <c r="E14" s="9" t="s">
        <v>222</v>
      </c>
      <c r="F14" s="9" t="s">
        <v>211</v>
      </c>
      <c r="G14" s="9">
        <v>46264</v>
      </c>
      <c r="H14" s="9">
        <v>46283</v>
      </c>
      <c r="I14" s="9">
        <f>H14-G14+1</f>
        <v>20</v>
      </c>
      <c r="J14" s="9" t="s">
        <v>223</v>
      </c>
      <c r="K14" s="9" t="s">
        <v>224</v>
      </c>
      <c r="L14" s="9" t="s">
        <v>225</v>
      </c>
      <c r="M14" s="9" t="s">
        <v>53</v>
      </c>
      <c r="N14" s="9" t="s">
        <v>54</v>
      </c>
      <c r="O14" s="9">
        <v>0</v>
      </c>
      <c r="P14" s="9" t="str">
        <f ca="1">IF(M14="Completed","Green",IF(TODAY()&gt;H14,"Red",IF(AND(TODAY()+14&gt;H14,O14&lt;0.75),"Amber","Green")))</f>
        <v>Green</v>
      </c>
      <c r="Q14" s="9"/>
    </row>
    <row r="15" spans="1:17">
      <c r="A15" s="9" t="s">
        <v>226</v>
      </c>
      <c r="B15" s="9" t="s">
        <v>14</v>
      </c>
      <c r="C15" s="9" t="s">
        <v>17</v>
      </c>
      <c r="D15" s="9" t="s">
        <v>227</v>
      </c>
      <c r="E15" s="9" t="s">
        <v>185</v>
      </c>
      <c r="F15" s="9" t="s">
        <v>186</v>
      </c>
      <c r="G15" s="9">
        <v>46268</v>
      </c>
      <c r="H15" s="9">
        <v>46292</v>
      </c>
      <c r="I15" s="9">
        <f>H15-G15+1</f>
        <v>25</v>
      </c>
      <c r="J15" s="9" t="s">
        <v>183</v>
      </c>
      <c r="K15" s="9" t="s">
        <v>228</v>
      </c>
      <c r="L15" s="9" t="s">
        <v>229</v>
      </c>
      <c r="M15" s="9" t="s">
        <v>53</v>
      </c>
      <c r="N15" s="9" t="s">
        <v>54</v>
      </c>
      <c r="O15" s="9">
        <v>0</v>
      </c>
      <c r="P15" s="9" t="str">
        <f ca="1">IF(M15="Completed","Green",IF(TODAY()&gt;H15,"Red",IF(AND(TODAY()+14&gt;H15,O15&lt;0.75),"Amber","Green")))</f>
        <v>Green</v>
      </c>
      <c r="Q15" s="9"/>
    </row>
    <row r="16" spans="1:17">
      <c r="A16" s="9" t="s">
        <v>230</v>
      </c>
      <c r="B16" s="9" t="s">
        <v>14</v>
      </c>
      <c r="C16" s="9" t="s">
        <v>17</v>
      </c>
      <c r="D16" s="9" t="s">
        <v>231</v>
      </c>
      <c r="E16" s="9" t="s">
        <v>165</v>
      </c>
      <c r="F16" s="9" t="s">
        <v>191</v>
      </c>
      <c r="G16" s="9">
        <v>46273</v>
      </c>
      <c r="H16" s="9">
        <v>46292</v>
      </c>
      <c r="I16" s="9">
        <f>H16-G16+1</f>
        <v>20</v>
      </c>
      <c r="J16" s="9" t="s">
        <v>232</v>
      </c>
      <c r="K16" s="9" t="s">
        <v>233</v>
      </c>
      <c r="L16" s="9" t="s">
        <v>234</v>
      </c>
      <c r="M16" s="9" t="s">
        <v>53</v>
      </c>
      <c r="N16" s="9" t="s">
        <v>54</v>
      </c>
      <c r="O16" s="9">
        <v>0</v>
      </c>
      <c r="P16" s="9" t="str">
        <f ca="1">IF(M16="Completed","Green",IF(TODAY()&gt;H16,"Red",IF(AND(TODAY()+14&gt;H16,O16&lt;0.75),"Amber","Green")))</f>
        <v>Green</v>
      </c>
      <c r="Q16" s="9"/>
    </row>
    <row r="17" spans="1:17">
      <c r="A17" s="9" t="s">
        <v>235</v>
      </c>
      <c r="B17" s="9" t="s">
        <v>14</v>
      </c>
      <c r="C17" s="9" t="s">
        <v>17</v>
      </c>
      <c r="D17" s="9" t="s">
        <v>236</v>
      </c>
      <c r="E17" s="9" t="s">
        <v>159</v>
      </c>
      <c r="F17" s="9" t="s">
        <v>160</v>
      </c>
      <c r="G17" s="9">
        <v>46278</v>
      </c>
      <c r="H17" s="9">
        <v>46292</v>
      </c>
      <c r="I17" s="9">
        <f>H17-G17+1</f>
        <v>15</v>
      </c>
      <c r="J17" s="9" t="s">
        <v>237</v>
      </c>
      <c r="K17" s="9" t="s">
        <v>238</v>
      </c>
      <c r="L17" s="9" t="s">
        <v>239</v>
      </c>
      <c r="M17" s="9" t="s">
        <v>53</v>
      </c>
      <c r="N17" s="9" t="s">
        <v>54</v>
      </c>
      <c r="O17" s="9">
        <v>0</v>
      </c>
      <c r="P17" s="9" t="str">
        <f ca="1">IF(M17="Completed","Green",IF(TODAY()&gt;H17,"Red",IF(AND(TODAY()+14&gt;H17,O17&lt;0.75),"Amber","Green")))</f>
        <v>Green</v>
      </c>
      <c r="Q17" s="9"/>
    </row>
    <row r="18" spans="1:17">
      <c r="A18" s="9" t="s">
        <v>240</v>
      </c>
      <c r="B18" s="9" t="s">
        <v>14</v>
      </c>
      <c r="C18" s="9" t="s">
        <v>19</v>
      </c>
      <c r="D18" s="9" t="s">
        <v>241</v>
      </c>
      <c r="E18" s="9" t="s">
        <v>201</v>
      </c>
      <c r="F18" s="9" t="s">
        <v>90</v>
      </c>
      <c r="G18" s="9">
        <v>46294</v>
      </c>
      <c r="H18" s="9">
        <v>46323</v>
      </c>
      <c r="I18" s="9">
        <f>H18-G18+1</f>
        <v>30</v>
      </c>
      <c r="J18" s="9" t="s">
        <v>242</v>
      </c>
      <c r="K18" s="9" t="s">
        <v>243</v>
      </c>
      <c r="L18" s="9" t="s">
        <v>244</v>
      </c>
      <c r="M18" s="9" t="s">
        <v>53</v>
      </c>
      <c r="N18" s="9" t="s">
        <v>54</v>
      </c>
      <c r="O18" s="9">
        <v>0</v>
      </c>
      <c r="P18" s="9" t="str">
        <f ca="1">IF(M18="Completed","Green",IF(TODAY()&gt;H18,"Red",IF(AND(TODAY()+14&gt;H18,O18&lt;0.75),"Amber","Green")))</f>
        <v>Green</v>
      </c>
      <c r="Q18" s="9"/>
    </row>
    <row r="19" spans="1:17">
      <c r="A19" s="9" t="s">
        <v>245</v>
      </c>
      <c r="B19" s="9" t="s">
        <v>14</v>
      </c>
      <c r="C19" s="9" t="s">
        <v>19</v>
      </c>
      <c r="D19" s="9" t="s">
        <v>246</v>
      </c>
      <c r="E19" s="9" t="s">
        <v>206</v>
      </c>
      <c r="F19" s="9" t="s">
        <v>180</v>
      </c>
      <c r="G19" s="9">
        <v>46303</v>
      </c>
      <c r="H19" s="9">
        <v>46332</v>
      </c>
      <c r="I19" s="9">
        <f>H19-G19+1</f>
        <v>30</v>
      </c>
      <c r="J19" s="9" t="s">
        <v>247</v>
      </c>
      <c r="K19" s="9" t="s">
        <v>248</v>
      </c>
      <c r="L19" s="9" t="s">
        <v>249</v>
      </c>
      <c r="M19" s="9" t="s">
        <v>53</v>
      </c>
      <c r="N19" s="9" t="s">
        <v>54</v>
      </c>
      <c r="O19" s="9">
        <v>0</v>
      </c>
      <c r="P19" s="9" t="str">
        <f ca="1">IF(M19="Completed","Green",IF(TODAY()&gt;H19,"Red",IF(AND(TODAY()+14&gt;H19,O19&lt;0.75),"Amber","Green")))</f>
        <v>Green</v>
      </c>
      <c r="Q19" s="9"/>
    </row>
    <row r="20" spans="1:17">
      <c r="A20" s="9" t="s">
        <v>250</v>
      </c>
      <c r="B20" s="9" t="s">
        <v>14</v>
      </c>
      <c r="C20" s="9" t="s">
        <v>19</v>
      </c>
      <c r="D20" s="9" t="s">
        <v>251</v>
      </c>
      <c r="E20" s="9" t="s">
        <v>165</v>
      </c>
      <c r="F20" s="9" t="s">
        <v>252</v>
      </c>
      <c r="G20" s="9">
        <v>46323</v>
      </c>
      <c r="H20" s="9">
        <v>46357</v>
      </c>
      <c r="I20" s="9">
        <f>H20-G20+1</f>
        <v>35</v>
      </c>
      <c r="J20" s="9" t="s">
        <v>253</v>
      </c>
      <c r="K20" s="9" t="s">
        <v>254</v>
      </c>
      <c r="L20" s="9" t="s">
        <v>255</v>
      </c>
      <c r="M20" s="9" t="s">
        <v>53</v>
      </c>
      <c r="N20" s="9" t="s">
        <v>54</v>
      </c>
      <c r="O20" s="9">
        <v>0</v>
      </c>
      <c r="P20" s="9" t="str">
        <f ca="1">IF(M20="Completed","Green",IF(TODAY()&gt;H20,"Red",IF(AND(TODAY()+14&gt;H20,O20&lt;0.75),"Amber","Green")))</f>
        <v>Green</v>
      </c>
      <c r="Q20" s="9"/>
    </row>
    <row r="21" spans="1:17">
      <c r="A21" s="9" t="s">
        <v>256</v>
      </c>
      <c r="B21" s="9" t="s">
        <v>14</v>
      </c>
      <c r="C21" s="9" t="s">
        <v>19</v>
      </c>
      <c r="D21" s="9" t="s">
        <v>257</v>
      </c>
      <c r="E21" s="9" t="s">
        <v>159</v>
      </c>
      <c r="F21" s="9" t="s">
        <v>258</v>
      </c>
      <c r="G21" s="9">
        <v>46333</v>
      </c>
      <c r="H21" s="9">
        <v>46362</v>
      </c>
      <c r="I21" s="9">
        <f>H21-G21+1</f>
        <v>30</v>
      </c>
      <c r="J21" s="9" t="s">
        <v>259</v>
      </c>
      <c r="K21" s="9" t="s">
        <v>260</v>
      </c>
      <c r="L21" s="9" t="s">
        <v>261</v>
      </c>
      <c r="M21" s="9" t="s">
        <v>53</v>
      </c>
      <c r="N21" s="9" t="s">
        <v>54</v>
      </c>
      <c r="O21" s="9">
        <v>0</v>
      </c>
      <c r="P21" s="9" t="str">
        <f ca="1">IF(M21="Completed","Green",IF(TODAY()&gt;H21,"Red",IF(AND(TODAY()+14&gt;H21,O21&lt;0.75),"Amber","Green")))</f>
        <v>Green</v>
      </c>
      <c r="Q21" s="9"/>
    </row>
    <row r="22" spans="1:17">
      <c r="A22" s="9" t="s">
        <v>262</v>
      </c>
      <c r="B22" s="9" t="s">
        <v>14</v>
      </c>
      <c r="C22" s="9" t="s">
        <v>19</v>
      </c>
      <c r="D22" s="9" t="s">
        <v>263</v>
      </c>
      <c r="E22" s="9" t="s">
        <v>159</v>
      </c>
      <c r="F22" s="9" t="s">
        <v>160</v>
      </c>
      <c r="G22" s="9">
        <v>46353</v>
      </c>
      <c r="H22" s="9">
        <v>46382</v>
      </c>
      <c r="I22" s="9">
        <f>H22-G22+1</f>
        <v>30</v>
      </c>
      <c r="J22" s="9" t="s">
        <v>264</v>
      </c>
      <c r="K22" s="9" t="s">
        <v>265</v>
      </c>
      <c r="L22" s="9" t="s">
        <v>266</v>
      </c>
      <c r="M22" s="9" t="s">
        <v>53</v>
      </c>
      <c r="N22" s="9" t="s">
        <v>54</v>
      </c>
      <c r="O22" s="9">
        <v>0</v>
      </c>
      <c r="P22" s="9" t="str">
        <f ca="1">IF(M22="Completed","Green",IF(TODAY()&gt;H22,"Red",IF(AND(TODAY()+14&gt;H22,O22&lt;0.75),"Amber","Green")))</f>
        <v>Green</v>
      </c>
      <c r="Q22" s="9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</sheetData>
  <conditionalFormatting sqref="O2:O250">
    <cfRule type="dataBar" priority="1">
      <dataBar>
        <cfvo type="min"/>
        <cfvo type="max"/>
        <color rgb="FF70AD47"/>
      </dataBar>
    </cfRule>
  </conditionalFormatting>
  <conditionalFormatting sqref="P2:P250">
    <cfRule type="expression" dxfId="17" priority="2">
      <formula>P2="Red"</formula>
    </cfRule>
    <cfRule type="expression" dxfId="16" priority="3">
      <formula>P2="Amber"</formula>
    </cfRule>
    <cfRule type="expression" dxfId="15" priority="4">
      <formula>P2="Green"</formula>
    </cfRule>
  </conditionalFormatting>
  <conditionalFormatting sqref="O2:O250">
    <cfRule type="dataBar" priority="5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{F921A4DA-E7F4-A94B-7E77-96073570F8EE}</x14:id>
        </ext>
      </extLst>
    </cfRule>
  </conditionalFormatting>
  <dataValidations count="2">
    <dataValidation type="list" sqref="M2:M250" xr:uid="{00000000-0002-0000-0300-000000000000}">
      <formula1>"Not Started,In Progress,Blocked,At Risk,Completed"</formula1>
    </dataValidation>
    <dataValidation type="list" sqref="N2:N250" xr:uid="{00000000-0002-0000-0300-000001000000}">
      <formula1>"Critical,High,Medium,Low"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21A4DA-E7F4-A94B-7E77-96073570F8EE}">
            <x14:dataBar>
              <x14:cfvo type="min"/>
              <x14:cfvo type="max"/>
              <x14:negativeFillColor auto="1"/>
              <x14:axisColor auto="1"/>
            </x14:dataBar>
          </x14:cfRule>
          <xm:sqref>O2:O250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"/>
  <sheetViews>
    <sheetView topLeftCell="J1" zoomScaleNormal="100" zoomScaleSheetLayoutView="100" workbookViewId="0"/>
  </sheetViews>
  <sheetFormatPr defaultRowHeight="15"/>
  <cols>
    <col min="1" max="1" width="10" customWidth="1"/>
    <col min="2" max="2" width="22" customWidth="1"/>
    <col min="3" max="3" width="24" customWidth="1"/>
    <col min="4" max="4" width="48" customWidth="1"/>
    <col min="5" max="6" width="24" customWidth="1"/>
    <col min="7" max="9" width="12" customWidth="1"/>
    <col min="10" max="10" width="18" customWidth="1"/>
    <col min="11" max="11" width="30" customWidth="1"/>
    <col min="12" max="12" width="38" customWidth="1"/>
    <col min="13" max="14" width="14" customWidth="1"/>
    <col min="15" max="16" width="12" customWidth="1"/>
    <col min="17" max="17" width="34" customWidth="1"/>
  </cols>
  <sheetData>
    <row r="1" spans="1:17" ht="32.1" customHeight="1">
      <c r="A1" s="6" t="s">
        <v>32</v>
      </c>
      <c r="B1" s="6" t="s">
        <v>7</v>
      </c>
      <c r="C1" s="6" t="s">
        <v>11</v>
      </c>
      <c r="D1" s="6" t="s">
        <v>33</v>
      </c>
      <c r="E1" s="6" t="s">
        <v>34</v>
      </c>
      <c r="F1" s="6" t="s">
        <v>35</v>
      </c>
      <c r="G1" s="7" t="s">
        <v>36</v>
      </c>
      <c r="H1" s="7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8" t="s">
        <v>44</v>
      </c>
      <c r="P1" s="6" t="s">
        <v>45</v>
      </c>
      <c r="Q1" s="6" t="s">
        <v>46</v>
      </c>
    </row>
    <row r="2" spans="1:17">
      <c r="A2" s="9" t="s">
        <v>267</v>
      </c>
      <c r="B2" s="9" t="s">
        <v>16</v>
      </c>
      <c r="C2" s="9" t="s">
        <v>13</v>
      </c>
      <c r="D2" s="9" t="s">
        <v>268</v>
      </c>
      <c r="E2" s="9" t="s">
        <v>269</v>
      </c>
      <c r="F2" s="9" t="s">
        <v>270</v>
      </c>
      <c r="G2" s="9">
        <v>46204</v>
      </c>
      <c r="H2" s="9">
        <v>46208</v>
      </c>
      <c r="I2" s="9">
        <f>H2-G2+1</f>
        <v>5</v>
      </c>
      <c r="J2" s="9"/>
      <c r="K2" s="9" t="s">
        <v>271</v>
      </c>
      <c r="L2" s="9" t="s">
        <v>272</v>
      </c>
      <c r="M2" s="9" t="s">
        <v>53</v>
      </c>
      <c r="N2" s="9" t="s">
        <v>54</v>
      </c>
      <c r="O2" s="9">
        <v>0</v>
      </c>
      <c r="P2" s="9" t="str">
        <f ca="1">IF(M2="Completed","Green",IF(TODAY()&gt;H2,"Red",IF(AND(TODAY()+14&gt;H2,O2&lt;0.75),"Amber","Green")))</f>
        <v>Green</v>
      </c>
      <c r="Q2" s="9"/>
    </row>
    <row r="3" spans="1:17">
      <c r="A3" s="9" t="s">
        <v>273</v>
      </c>
      <c r="B3" s="9" t="s">
        <v>16</v>
      </c>
      <c r="C3" s="9" t="s">
        <v>13</v>
      </c>
      <c r="D3" s="9" t="s">
        <v>274</v>
      </c>
      <c r="E3" s="9" t="s">
        <v>275</v>
      </c>
      <c r="F3" s="9" t="s">
        <v>276</v>
      </c>
      <c r="G3" s="9">
        <v>46207</v>
      </c>
      <c r="H3" s="9">
        <v>46216</v>
      </c>
      <c r="I3" s="9">
        <f>H3-G3+1</f>
        <v>10</v>
      </c>
      <c r="J3" s="9" t="s">
        <v>267</v>
      </c>
      <c r="K3" s="9" t="s">
        <v>277</v>
      </c>
      <c r="L3" s="9" t="s">
        <v>278</v>
      </c>
      <c r="M3" s="9" t="s">
        <v>53</v>
      </c>
      <c r="N3" s="9" t="s">
        <v>54</v>
      </c>
      <c r="O3" s="9">
        <v>0</v>
      </c>
      <c r="P3" s="9" t="str">
        <f ca="1">IF(M3="Completed","Green",IF(TODAY()&gt;H3,"Red",IF(AND(TODAY()+14&gt;H3,O3&lt;0.75),"Amber","Green")))</f>
        <v>Green</v>
      </c>
      <c r="Q3" s="9"/>
    </row>
    <row r="4" spans="1:17">
      <c r="A4" s="9" t="s">
        <v>279</v>
      </c>
      <c r="B4" s="9" t="s">
        <v>16</v>
      </c>
      <c r="C4" s="9" t="s">
        <v>13</v>
      </c>
      <c r="D4" s="9" t="s">
        <v>280</v>
      </c>
      <c r="E4" s="9" t="s">
        <v>281</v>
      </c>
      <c r="F4" s="9" t="s">
        <v>83</v>
      </c>
      <c r="G4" s="9">
        <v>46211</v>
      </c>
      <c r="H4" s="9">
        <v>46222</v>
      </c>
      <c r="I4" s="9">
        <f>H4-G4+1</f>
        <v>12</v>
      </c>
      <c r="J4" s="9" t="s">
        <v>267</v>
      </c>
      <c r="K4" s="9" t="s">
        <v>282</v>
      </c>
      <c r="L4" s="9" t="s">
        <v>283</v>
      </c>
      <c r="M4" s="9" t="s">
        <v>53</v>
      </c>
      <c r="N4" s="9" t="s">
        <v>54</v>
      </c>
      <c r="O4" s="9">
        <v>0</v>
      </c>
      <c r="P4" s="9" t="str">
        <f ca="1">IF(M4="Completed","Green",IF(TODAY()&gt;H4,"Red",IF(AND(TODAY()+14&gt;H4,O4&lt;0.75),"Amber","Green")))</f>
        <v>Green</v>
      </c>
      <c r="Q4" s="9"/>
    </row>
    <row r="5" spans="1:17">
      <c r="A5" s="9" t="s">
        <v>284</v>
      </c>
      <c r="B5" s="9" t="s">
        <v>16</v>
      </c>
      <c r="C5" s="9" t="s">
        <v>13</v>
      </c>
      <c r="D5" s="9" t="s">
        <v>285</v>
      </c>
      <c r="E5" s="9" t="s">
        <v>286</v>
      </c>
      <c r="F5" s="9" t="s">
        <v>83</v>
      </c>
      <c r="G5" s="9">
        <v>46215</v>
      </c>
      <c r="H5" s="9">
        <v>46226</v>
      </c>
      <c r="I5" s="9">
        <f>H5-G5+1</f>
        <v>12</v>
      </c>
      <c r="J5" s="9" t="s">
        <v>287</v>
      </c>
      <c r="K5" s="9" t="s">
        <v>288</v>
      </c>
      <c r="L5" s="9" t="s">
        <v>289</v>
      </c>
      <c r="M5" s="9" t="s">
        <v>53</v>
      </c>
      <c r="N5" s="9" t="s">
        <v>54</v>
      </c>
      <c r="O5" s="9">
        <v>0</v>
      </c>
      <c r="P5" s="9" t="str">
        <f ca="1">IF(M5="Completed","Green",IF(TODAY()&gt;H5,"Red",IF(AND(TODAY()+14&gt;H5,O5&lt;0.75),"Amber","Green")))</f>
        <v>Green</v>
      </c>
      <c r="Q5" s="9"/>
    </row>
    <row r="6" spans="1:17">
      <c r="A6" s="9" t="s">
        <v>290</v>
      </c>
      <c r="B6" s="9" t="s">
        <v>16</v>
      </c>
      <c r="C6" s="9" t="s">
        <v>13</v>
      </c>
      <c r="D6" s="9" t="s">
        <v>291</v>
      </c>
      <c r="E6" s="9" t="s">
        <v>292</v>
      </c>
      <c r="F6" s="9" t="s">
        <v>293</v>
      </c>
      <c r="G6" s="9">
        <v>46218</v>
      </c>
      <c r="H6" s="9">
        <v>46232</v>
      </c>
      <c r="I6" s="9">
        <f>H6-G6+1</f>
        <v>15</v>
      </c>
      <c r="J6" s="9" t="s">
        <v>273</v>
      </c>
      <c r="K6" s="9" t="s">
        <v>294</v>
      </c>
      <c r="L6" s="9" t="s">
        <v>295</v>
      </c>
      <c r="M6" s="9" t="s">
        <v>53</v>
      </c>
      <c r="N6" s="9" t="s">
        <v>54</v>
      </c>
      <c r="O6" s="9">
        <v>0</v>
      </c>
      <c r="P6" s="9" t="str">
        <f ca="1">IF(M6="Completed","Green",IF(TODAY()&gt;H6,"Red",IF(AND(TODAY()+14&gt;H6,O6&lt;0.75),"Amber","Green")))</f>
        <v>Green</v>
      </c>
      <c r="Q6" s="9"/>
    </row>
    <row r="7" spans="1:17">
      <c r="A7" s="9" t="s">
        <v>296</v>
      </c>
      <c r="B7" s="9" t="s">
        <v>16</v>
      </c>
      <c r="C7" s="9" t="s">
        <v>13</v>
      </c>
      <c r="D7" s="9" t="s">
        <v>297</v>
      </c>
      <c r="E7" s="9" t="s">
        <v>298</v>
      </c>
      <c r="F7" s="9" t="s">
        <v>95</v>
      </c>
      <c r="G7" s="9">
        <v>46223</v>
      </c>
      <c r="H7" s="9">
        <v>46232</v>
      </c>
      <c r="I7" s="9">
        <f>H7-G7+1</f>
        <v>10</v>
      </c>
      <c r="J7" s="9" t="s">
        <v>299</v>
      </c>
      <c r="K7" s="9" t="s">
        <v>300</v>
      </c>
      <c r="L7" s="9" t="s">
        <v>301</v>
      </c>
      <c r="M7" s="9" t="s">
        <v>53</v>
      </c>
      <c r="N7" s="9" t="s">
        <v>54</v>
      </c>
      <c r="O7" s="9">
        <v>0</v>
      </c>
      <c r="P7" s="9" t="str">
        <f ca="1">IF(M7="Completed","Green",IF(TODAY()&gt;H7,"Red",IF(AND(TODAY()+14&gt;H7,O7&lt;0.75),"Amber","Green")))</f>
        <v>Green</v>
      </c>
      <c r="Q7" s="9"/>
    </row>
    <row r="8" spans="1:17">
      <c r="A8" s="9" t="s">
        <v>302</v>
      </c>
      <c r="B8" s="9" t="s">
        <v>16</v>
      </c>
      <c r="C8" s="9" t="s">
        <v>13</v>
      </c>
      <c r="D8" s="9" t="s">
        <v>303</v>
      </c>
      <c r="E8" s="9" t="s">
        <v>304</v>
      </c>
      <c r="F8" s="9" t="s">
        <v>305</v>
      </c>
      <c r="G8" s="9">
        <v>46228</v>
      </c>
      <c r="H8" s="9">
        <v>46242</v>
      </c>
      <c r="I8" s="9">
        <f>H8-G8+1</f>
        <v>15</v>
      </c>
      <c r="J8" s="9" t="s">
        <v>299</v>
      </c>
      <c r="K8" s="9" t="s">
        <v>306</v>
      </c>
      <c r="L8" s="9" t="s">
        <v>307</v>
      </c>
      <c r="M8" s="9" t="s">
        <v>53</v>
      </c>
      <c r="N8" s="9" t="s">
        <v>54</v>
      </c>
      <c r="O8" s="9">
        <v>0</v>
      </c>
      <c r="P8" s="9" t="str">
        <f ca="1">IF(M8="Completed","Green",IF(TODAY()&gt;H8,"Red",IF(AND(TODAY()+14&gt;H8,O8&lt;0.75),"Amber","Green")))</f>
        <v>Green</v>
      </c>
      <c r="Q8" s="9"/>
    </row>
    <row r="9" spans="1:17">
      <c r="A9" s="9" t="s">
        <v>308</v>
      </c>
      <c r="B9" s="9" t="s">
        <v>16</v>
      </c>
      <c r="C9" s="9" t="s">
        <v>15</v>
      </c>
      <c r="D9" s="9" t="s">
        <v>309</v>
      </c>
      <c r="E9" s="9" t="s">
        <v>298</v>
      </c>
      <c r="F9" s="9" t="s">
        <v>95</v>
      </c>
      <c r="G9" s="9">
        <v>46234</v>
      </c>
      <c r="H9" s="9">
        <v>46253</v>
      </c>
      <c r="I9" s="9">
        <f>H9-G9+1</f>
        <v>20</v>
      </c>
      <c r="J9" s="9" t="s">
        <v>310</v>
      </c>
      <c r="K9" s="9" t="s">
        <v>311</v>
      </c>
      <c r="L9" s="9" t="s">
        <v>312</v>
      </c>
      <c r="M9" s="9" t="s">
        <v>53</v>
      </c>
      <c r="N9" s="9" t="s">
        <v>54</v>
      </c>
      <c r="O9" s="9">
        <v>0</v>
      </c>
      <c r="P9" s="9" t="str">
        <f ca="1">IF(M9="Completed","Green",IF(TODAY()&gt;H9,"Red",IF(AND(TODAY()+14&gt;H9,O9&lt;0.75),"Amber","Green")))</f>
        <v>Green</v>
      </c>
      <c r="Q9" s="9"/>
    </row>
    <row r="10" spans="1:17">
      <c r="A10" s="9" t="s">
        <v>313</v>
      </c>
      <c r="B10" s="9" t="s">
        <v>16</v>
      </c>
      <c r="C10" s="9" t="s">
        <v>15</v>
      </c>
      <c r="D10" s="9" t="s">
        <v>314</v>
      </c>
      <c r="E10" s="9" t="s">
        <v>315</v>
      </c>
      <c r="F10" s="9" t="s">
        <v>76</v>
      </c>
      <c r="G10" s="9">
        <v>46238</v>
      </c>
      <c r="H10" s="9">
        <v>46257</v>
      </c>
      <c r="I10" s="9">
        <f>H10-G10+1</f>
        <v>20</v>
      </c>
      <c r="J10" s="9" t="s">
        <v>316</v>
      </c>
      <c r="K10" s="9" t="s">
        <v>317</v>
      </c>
      <c r="L10" s="9" t="s">
        <v>318</v>
      </c>
      <c r="M10" s="9" t="s">
        <v>53</v>
      </c>
      <c r="N10" s="9" t="s">
        <v>54</v>
      </c>
      <c r="O10" s="9">
        <v>0</v>
      </c>
      <c r="P10" s="9" t="str">
        <f ca="1">IF(M10="Completed","Green",IF(TODAY()&gt;H10,"Red",IF(AND(TODAY()+14&gt;H10,O10&lt;0.75),"Amber","Green")))</f>
        <v>Green</v>
      </c>
      <c r="Q10" s="9"/>
    </row>
    <row r="11" spans="1:17">
      <c r="A11" s="9" t="s">
        <v>319</v>
      </c>
      <c r="B11" s="9" t="s">
        <v>16</v>
      </c>
      <c r="C11" s="9" t="s">
        <v>15</v>
      </c>
      <c r="D11" s="9" t="s">
        <v>320</v>
      </c>
      <c r="E11" s="9" t="s">
        <v>321</v>
      </c>
      <c r="F11" s="9" t="s">
        <v>322</v>
      </c>
      <c r="G11" s="9">
        <v>46248</v>
      </c>
      <c r="H11" s="9">
        <v>46262</v>
      </c>
      <c r="I11" s="9">
        <f>H11-G11+1</f>
        <v>15</v>
      </c>
      <c r="J11" s="9" t="s">
        <v>323</v>
      </c>
      <c r="K11" s="9" t="s">
        <v>324</v>
      </c>
      <c r="L11" s="9" t="s">
        <v>325</v>
      </c>
      <c r="M11" s="9" t="s">
        <v>53</v>
      </c>
      <c r="N11" s="9" t="s">
        <v>54</v>
      </c>
      <c r="O11" s="9">
        <v>0</v>
      </c>
      <c r="P11" s="9" t="str">
        <f ca="1">IF(M11="Completed","Green",IF(TODAY()&gt;H11,"Red",IF(AND(TODAY()+14&gt;H11,O11&lt;0.75),"Amber","Green")))</f>
        <v>Green</v>
      </c>
      <c r="Q11" s="9"/>
    </row>
    <row r="12" spans="1:17">
      <c r="A12" s="9" t="s">
        <v>326</v>
      </c>
      <c r="B12" s="9" t="s">
        <v>16</v>
      </c>
      <c r="C12" s="9" t="s">
        <v>17</v>
      </c>
      <c r="D12" s="9" t="s">
        <v>327</v>
      </c>
      <c r="E12" s="9" t="s">
        <v>292</v>
      </c>
      <c r="F12" s="9" t="s">
        <v>293</v>
      </c>
      <c r="G12" s="9">
        <v>46264</v>
      </c>
      <c r="H12" s="9">
        <v>46283</v>
      </c>
      <c r="I12" s="9">
        <f>H12-G12+1</f>
        <v>20</v>
      </c>
      <c r="J12" s="9" t="s">
        <v>323</v>
      </c>
      <c r="K12" s="9" t="s">
        <v>328</v>
      </c>
      <c r="L12" s="9" t="s">
        <v>329</v>
      </c>
      <c r="M12" s="9" t="s">
        <v>53</v>
      </c>
      <c r="N12" s="9" t="s">
        <v>54</v>
      </c>
      <c r="O12" s="9">
        <v>0</v>
      </c>
      <c r="P12" s="9" t="str">
        <f ca="1">IF(M12="Completed","Green",IF(TODAY()&gt;H12,"Red",IF(AND(TODAY()+14&gt;H12,O12&lt;0.75),"Amber","Green")))</f>
        <v>Green</v>
      </c>
      <c r="Q12" s="9"/>
    </row>
    <row r="13" spans="1:17">
      <c r="A13" s="9" t="s">
        <v>330</v>
      </c>
      <c r="B13" s="9" t="s">
        <v>16</v>
      </c>
      <c r="C13" s="9" t="s">
        <v>17</v>
      </c>
      <c r="D13" s="9" t="s">
        <v>331</v>
      </c>
      <c r="E13" s="9" t="s">
        <v>298</v>
      </c>
      <c r="F13" s="9" t="s">
        <v>65</v>
      </c>
      <c r="G13" s="9">
        <v>46268</v>
      </c>
      <c r="H13" s="9">
        <v>46292</v>
      </c>
      <c r="I13" s="9">
        <f>H13-G13+1</f>
        <v>25</v>
      </c>
      <c r="J13" s="9" t="s">
        <v>326</v>
      </c>
      <c r="K13" s="9" t="s">
        <v>332</v>
      </c>
      <c r="L13" s="9" t="s">
        <v>333</v>
      </c>
      <c r="M13" s="9" t="s">
        <v>53</v>
      </c>
      <c r="N13" s="9" t="s">
        <v>54</v>
      </c>
      <c r="O13" s="9">
        <v>0</v>
      </c>
      <c r="P13" s="9" t="str">
        <f ca="1">IF(M13="Completed","Green",IF(TODAY()&gt;H13,"Red",IF(AND(TODAY()+14&gt;H13,O13&lt;0.75),"Amber","Green")))</f>
        <v>Green</v>
      </c>
      <c r="Q13" s="9"/>
    </row>
    <row r="14" spans="1:17">
      <c r="A14" s="9" t="s">
        <v>334</v>
      </c>
      <c r="B14" s="9" t="s">
        <v>16</v>
      </c>
      <c r="C14" s="9" t="s">
        <v>17</v>
      </c>
      <c r="D14" s="9" t="s">
        <v>335</v>
      </c>
      <c r="E14" s="9" t="s">
        <v>304</v>
      </c>
      <c r="F14" s="9" t="s">
        <v>305</v>
      </c>
      <c r="G14" s="9">
        <v>46273</v>
      </c>
      <c r="H14" s="9">
        <v>46292</v>
      </c>
      <c r="I14" s="9">
        <f>H14-G14+1</f>
        <v>20</v>
      </c>
      <c r="J14" s="9" t="s">
        <v>336</v>
      </c>
      <c r="K14" s="9" t="s">
        <v>337</v>
      </c>
      <c r="L14" s="9" t="s">
        <v>338</v>
      </c>
      <c r="M14" s="9" t="s">
        <v>53</v>
      </c>
      <c r="N14" s="9" t="s">
        <v>54</v>
      </c>
      <c r="O14" s="9">
        <v>0</v>
      </c>
      <c r="P14" s="9" t="str">
        <f ca="1">IF(M14="Completed","Green",IF(TODAY()&gt;H14,"Red",IF(AND(TODAY()+14&gt;H14,O14&lt;0.75),"Amber","Green")))</f>
        <v>Green</v>
      </c>
      <c r="Q14" s="9"/>
    </row>
    <row r="15" spans="1:17">
      <c r="A15" s="9" t="s">
        <v>339</v>
      </c>
      <c r="B15" s="9" t="s">
        <v>16</v>
      </c>
      <c r="C15" s="9" t="s">
        <v>17</v>
      </c>
      <c r="D15" s="9" t="s">
        <v>340</v>
      </c>
      <c r="E15" s="9" t="s">
        <v>321</v>
      </c>
      <c r="F15" s="9" t="s">
        <v>341</v>
      </c>
      <c r="G15" s="9">
        <v>46278</v>
      </c>
      <c r="H15" s="9">
        <v>46297</v>
      </c>
      <c r="I15" s="9">
        <f>H15-G15+1</f>
        <v>20</v>
      </c>
      <c r="J15" s="9" t="s">
        <v>342</v>
      </c>
      <c r="K15" s="9" t="s">
        <v>343</v>
      </c>
      <c r="L15" s="9" t="s">
        <v>344</v>
      </c>
      <c r="M15" s="9" t="s">
        <v>53</v>
      </c>
      <c r="N15" s="9" t="s">
        <v>54</v>
      </c>
      <c r="O15" s="9">
        <v>0</v>
      </c>
      <c r="P15" s="9" t="str">
        <f ca="1">IF(M15="Completed","Green",IF(TODAY()&gt;H15,"Red",IF(AND(TODAY()+14&gt;H15,O15&lt;0.75),"Amber","Green")))</f>
        <v>Green</v>
      </c>
      <c r="Q15" s="9"/>
    </row>
    <row r="16" spans="1:17">
      <c r="A16" s="9" t="s">
        <v>345</v>
      </c>
      <c r="B16" s="9" t="s">
        <v>16</v>
      </c>
      <c r="C16" s="9" t="s">
        <v>19</v>
      </c>
      <c r="D16" s="9" t="s">
        <v>346</v>
      </c>
      <c r="E16" s="9" t="s">
        <v>298</v>
      </c>
      <c r="F16" s="9" t="s">
        <v>95</v>
      </c>
      <c r="G16" s="9">
        <v>46294</v>
      </c>
      <c r="H16" s="9">
        <v>46323</v>
      </c>
      <c r="I16" s="9">
        <f>H16-G16+1</f>
        <v>30</v>
      </c>
      <c r="J16" s="9" t="s">
        <v>347</v>
      </c>
      <c r="K16" s="9" t="s">
        <v>348</v>
      </c>
      <c r="L16" s="9" t="s">
        <v>349</v>
      </c>
      <c r="M16" s="9" t="s">
        <v>53</v>
      </c>
      <c r="N16" s="9" t="s">
        <v>54</v>
      </c>
      <c r="O16" s="9">
        <v>0</v>
      </c>
      <c r="P16" s="9" t="str">
        <f ca="1">IF(M16="Completed","Green",IF(TODAY()&gt;H16,"Red",IF(AND(TODAY()+14&gt;H16,O16&lt;0.75),"Amber","Green")))</f>
        <v>Green</v>
      </c>
      <c r="Q16" s="9"/>
    </row>
    <row r="17" spans="1:17">
      <c r="A17" s="9" t="s">
        <v>350</v>
      </c>
      <c r="B17" s="9" t="s">
        <v>16</v>
      </c>
      <c r="C17" s="9" t="s">
        <v>19</v>
      </c>
      <c r="D17" s="9" t="s">
        <v>351</v>
      </c>
      <c r="E17" s="9" t="s">
        <v>292</v>
      </c>
      <c r="F17" s="9" t="s">
        <v>276</v>
      </c>
      <c r="G17" s="9">
        <v>46303</v>
      </c>
      <c r="H17" s="9">
        <v>46332</v>
      </c>
      <c r="I17" s="9">
        <f>H17-G17+1</f>
        <v>30</v>
      </c>
      <c r="J17" s="9" t="s">
        <v>330</v>
      </c>
      <c r="K17" s="9" t="s">
        <v>352</v>
      </c>
      <c r="L17" s="9" t="s">
        <v>353</v>
      </c>
      <c r="M17" s="9" t="s">
        <v>53</v>
      </c>
      <c r="N17" s="9" t="s">
        <v>54</v>
      </c>
      <c r="O17" s="9">
        <v>0</v>
      </c>
      <c r="P17" s="9" t="str">
        <f ca="1">IF(M17="Completed","Green",IF(TODAY()&gt;H17,"Red",IF(AND(TODAY()+14&gt;H17,O17&lt;0.75),"Amber","Green")))</f>
        <v>Green</v>
      </c>
      <c r="Q17" s="9"/>
    </row>
    <row r="18" spans="1:17">
      <c r="A18" s="9" t="s">
        <v>354</v>
      </c>
      <c r="B18" s="9" t="s">
        <v>16</v>
      </c>
      <c r="C18" s="9" t="s">
        <v>19</v>
      </c>
      <c r="D18" s="9" t="s">
        <v>355</v>
      </c>
      <c r="E18" s="9" t="s">
        <v>304</v>
      </c>
      <c r="F18" s="9" t="s">
        <v>95</v>
      </c>
      <c r="G18" s="9">
        <v>46313</v>
      </c>
      <c r="H18" s="9">
        <v>46347</v>
      </c>
      <c r="I18" s="9">
        <f>H18-G18+1</f>
        <v>35</v>
      </c>
      <c r="J18" s="9" t="s">
        <v>356</v>
      </c>
      <c r="K18" s="9" t="s">
        <v>357</v>
      </c>
      <c r="L18" s="9" t="s">
        <v>358</v>
      </c>
      <c r="M18" s="9" t="s">
        <v>53</v>
      </c>
      <c r="N18" s="9" t="s">
        <v>54</v>
      </c>
      <c r="O18" s="9">
        <v>0</v>
      </c>
      <c r="P18" s="9" t="str">
        <f ca="1">IF(M18="Completed","Green",IF(TODAY()&gt;H18,"Red",IF(AND(TODAY()+14&gt;H18,O18&lt;0.75),"Amber","Green")))</f>
        <v>Green</v>
      </c>
      <c r="Q18" s="9"/>
    </row>
    <row r="19" spans="1:17">
      <c r="A19" s="9" t="s">
        <v>359</v>
      </c>
      <c r="B19" s="9" t="s">
        <v>16</v>
      </c>
      <c r="C19" s="9" t="s">
        <v>19</v>
      </c>
      <c r="D19" s="9" t="s">
        <v>360</v>
      </c>
      <c r="E19" s="9" t="s">
        <v>321</v>
      </c>
      <c r="F19" s="9" t="s">
        <v>95</v>
      </c>
      <c r="G19" s="9">
        <v>46328</v>
      </c>
      <c r="H19" s="9">
        <v>46362</v>
      </c>
      <c r="I19" s="9">
        <f>H19-G19+1</f>
        <v>35</v>
      </c>
      <c r="J19" s="9" t="s">
        <v>361</v>
      </c>
      <c r="K19" s="9" t="s">
        <v>362</v>
      </c>
      <c r="L19" s="9" t="s">
        <v>363</v>
      </c>
      <c r="M19" s="9" t="s">
        <v>53</v>
      </c>
      <c r="N19" s="9" t="s">
        <v>54</v>
      </c>
      <c r="O19" s="9">
        <v>0</v>
      </c>
      <c r="P19" s="9" t="str">
        <f ca="1">IF(M19="Completed","Green",IF(TODAY()&gt;H19,"Red",IF(AND(TODAY()+14&gt;H19,O19&lt;0.75),"Amber","Green")))</f>
        <v>Green</v>
      </c>
      <c r="Q19" s="9"/>
    </row>
    <row r="20" spans="1:17">
      <c r="A20" s="9" t="s">
        <v>364</v>
      </c>
      <c r="B20" s="9" t="s">
        <v>16</v>
      </c>
      <c r="C20" s="9" t="s">
        <v>19</v>
      </c>
      <c r="D20" s="9" t="s">
        <v>365</v>
      </c>
      <c r="E20" s="9" t="s">
        <v>269</v>
      </c>
      <c r="F20" s="9" t="s">
        <v>366</v>
      </c>
      <c r="G20" s="9">
        <v>46348</v>
      </c>
      <c r="H20" s="9">
        <v>46372</v>
      </c>
      <c r="I20" s="9">
        <f>H20-G20+1</f>
        <v>25</v>
      </c>
      <c r="J20" s="9" t="s">
        <v>367</v>
      </c>
      <c r="K20" s="9" t="s">
        <v>368</v>
      </c>
      <c r="L20" s="9" t="s">
        <v>369</v>
      </c>
      <c r="M20" s="9" t="s">
        <v>53</v>
      </c>
      <c r="N20" s="9" t="s">
        <v>54</v>
      </c>
      <c r="O20" s="9">
        <v>0</v>
      </c>
      <c r="P20" s="9" t="str">
        <f ca="1">IF(M20="Completed","Green",IF(TODAY()&gt;H20,"Red",IF(AND(TODAY()+14&gt;H20,O20&lt;0.75),"Amber","Green")))</f>
        <v>Green</v>
      </c>
      <c r="Q20" s="9"/>
    </row>
    <row r="21" spans="1:17">
      <c r="A21" s="9" t="s">
        <v>370</v>
      </c>
      <c r="B21" s="9" t="s">
        <v>16</v>
      </c>
      <c r="C21" s="9" t="s">
        <v>19</v>
      </c>
      <c r="D21" s="9" t="s">
        <v>371</v>
      </c>
      <c r="E21" s="9" t="s">
        <v>269</v>
      </c>
      <c r="F21" s="9" t="s">
        <v>50</v>
      </c>
      <c r="G21" s="9">
        <v>46363</v>
      </c>
      <c r="H21" s="9">
        <v>46382</v>
      </c>
      <c r="I21" s="9">
        <f>H21-G21+1</f>
        <v>20</v>
      </c>
      <c r="J21" s="9" t="s">
        <v>372</v>
      </c>
      <c r="K21" s="9" t="s">
        <v>373</v>
      </c>
      <c r="L21" s="9" t="s">
        <v>374</v>
      </c>
      <c r="M21" s="9" t="s">
        <v>53</v>
      </c>
      <c r="N21" s="9" t="s">
        <v>54</v>
      </c>
      <c r="O21" s="9">
        <v>0</v>
      </c>
      <c r="P21" s="9" t="str">
        <f ca="1">IF(M21="Completed","Green",IF(TODAY()&gt;H21,"Red",IF(AND(TODAY()+14&gt;H21,O21&lt;0.75),"Amber","Green")))</f>
        <v>Green</v>
      </c>
      <c r="Q21" s="9"/>
    </row>
    <row r="22" spans="1:1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</sheetData>
  <conditionalFormatting sqref="O2:O250">
    <cfRule type="dataBar" priority="1">
      <dataBar>
        <cfvo type="min"/>
        <cfvo type="max"/>
        <color rgb="FF70AD47"/>
      </dataBar>
    </cfRule>
  </conditionalFormatting>
  <conditionalFormatting sqref="P2:P250">
    <cfRule type="expression" dxfId="14" priority="2">
      <formula>P2="Red"</formula>
    </cfRule>
    <cfRule type="expression" dxfId="13" priority="3">
      <formula>P2="Amber"</formula>
    </cfRule>
    <cfRule type="expression" dxfId="12" priority="4">
      <formula>P2="Green"</formula>
    </cfRule>
  </conditionalFormatting>
  <conditionalFormatting sqref="O2:O250">
    <cfRule type="dataBar" priority="5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{26423369-7A6A-969C-4F99-D7943063FE46}</x14:id>
        </ext>
      </extLst>
    </cfRule>
  </conditionalFormatting>
  <dataValidations count="2">
    <dataValidation type="list" sqref="M2:M250" xr:uid="{00000000-0002-0000-0400-000000000000}">
      <formula1>"Not Started,In Progress,Blocked,At Risk,Completed"</formula1>
    </dataValidation>
    <dataValidation type="list" sqref="N2:N250" xr:uid="{00000000-0002-0000-0400-000001000000}">
      <formula1>"Critical,High,Medium,Low"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423369-7A6A-969C-4F99-D7943063FE46}">
            <x14:dataBar>
              <x14:cfvo type="min"/>
              <x14:cfvo type="max"/>
              <x14:negativeFillColor auto="1"/>
              <x14:axisColor auto="1"/>
            </x14:dataBar>
          </x14:cfRule>
          <xm:sqref>O2:O250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0"/>
  <sheetViews>
    <sheetView zoomScaleNormal="100" zoomScaleSheetLayoutView="100" workbookViewId="0"/>
  </sheetViews>
  <sheetFormatPr defaultRowHeight="15"/>
  <cols>
    <col min="1" max="1" width="10" customWidth="1"/>
    <col min="2" max="2" width="22" customWidth="1"/>
    <col min="3" max="3" width="24" customWidth="1"/>
    <col min="4" max="4" width="48" customWidth="1"/>
    <col min="5" max="6" width="24" customWidth="1"/>
    <col min="7" max="9" width="12" customWidth="1"/>
    <col min="10" max="10" width="18" customWidth="1"/>
    <col min="11" max="11" width="30" customWidth="1"/>
    <col min="12" max="12" width="38" customWidth="1"/>
    <col min="13" max="14" width="14" customWidth="1"/>
    <col min="15" max="16" width="12" customWidth="1"/>
    <col min="17" max="17" width="34" customWidth="1"/>
  </cols>
  <sheetData>
    <row r="1" spans="1:17" ht="32.1" customHeight="1">
      <c r="A1" s="6" t="s">
        <v>32</v>
      </c>
      <c r="B1" s="6" t="s">
        <v>7</v>
      </c>
      <c r="C1" s="6" t="s">
        <v>11</v>
      </c>
      <c r="D1" s="6" t="s">
        <v>33</v>
      </c>
      <c r="E1" s="6" t="s">
        <v>34</v>
      </c>
      <c r="F1" s="6" t="s">
        <v>35</v>
      </c>
      <c r="G1" s="7" t="s">
        <v>36</v>
      </c>
      <c r="H1" s="7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8" t="s">
        <v>44</v>
      </c>
      <c r="P1" s="6" t="s">
        <v>45</v>
      </c>
      <c r="Q1" s="6" t="s">
        <v>46</v>
      </c>
    </row>
    <row r="2" spans="1:17">
      <c r="A2" s="9" t="s">
        <v>375</v>
      </c>
      <c r="B2" s="9" t="s">
        <v>18</v>
      </c>
      <c r="C2" s="9" t="s">
        <v>13</v>
      </c>
      <c r="D2" s="9" t="s">
        <v>376</v>
      </c>
      <c r="E2" s="9" t="s">
        <v>377</v>
      </c>
      <c r="F2" s="9" t="s">
        <v>378</v>
      </c>
      <c r="G2" s="9">
        <v>46204</v>
      </c>
      <c r="H2" s="9">
        <v>46208</v>
      </c>
      <c r="I2" s="9">
        <f>H2-G2+1</f>
        <v>5</v>
      </c>
      <c r="J2" s="9"/>
      <c r="K2" s="9" t="s">
        <v>379</v>
      </c>
      <c r="L2" s="9" t="s">
        <v>380</v>
      </c>
      <c r="M2" s="9" t="s">
        <v>53</v>
      </c>
      <c r="N2" s="9" t="s">
        <v>54</v>
      </c>
      <c r="O2" s="9">
        <v>0</v>
      </c>
      <c r="P2" s="9" t="str">
        <f ca="1">IF(M2="Completed","Green",IF(TODAY()&gt;H2,"Red",IF(AND(TODAY()+14&gt;H2,O2&lt;0.75),"Amber","Green")))</f>
        <v>Green</v>
      </c>
      <c r="Q2" s="9"/>
    </row>
    <row r="3" spans="1:17">
      <c r="A3" s="9" t="s">
        <v>381</v>
      </c>
      <c r="B3" s="9" t="s">
        <v>18</v>
      </c>
      <c r="C3" s="9" t="s">
        <v>13</v>
      </c>
      <c r="D3" s="9" t="s">
        <v>382</v>
      </c>
      <c r="E3" s="9" t="s">
        <v>383</v>
      </c>
      <c r="F3" s="9" t="s">
        <v>270</v>
      </c>
      <c r="G3" s="9">
        <v>46206</v>
      </c>
      <c r="H3" s="9">
        <v>46213</v>
      </c>
      <c r="I3" s="9">
        <f>H3-G3+1</f>
        <v>8</v>
      </c>
      <c r="J3" s="9" t="s">
        <v>375</v>
      </c>
      <c r="K3" s="9" t="s">
        <v>384</v>
      </c>
      <c r="L3" s="9" t="s">
        <v>385</v>
      </c>
      <c r="M3" s="9" t="s">
        <v>53</v>
      </c>
      <c r="N3" s="9" t="s">
        <v>54</v>
      </c>
      <c r="O3" s="9">
        <v>0</v>
      </c>
      <c r="P3" s="9" t="str">
        <f ca="1">IF(M3="Completed","Green",IF(TODAY()&gt;H3,"Red",IF(AND(TODAY()+14&gt;H3,O3&lt;0.75),"Amber","Green")))</f>
        <v>Green</v>
      </c>
      <c r="Q3" s="9"/>
    </row>
    <row r="4" spans="1:17">
      <c r="A4" s="9" t="s">
        <v>386</v>
      </c>
      <c r="B4" s="9" t="s">
        <v>18</v>
      </c>
      <c r="C4" s="9" t="s">
        <v>13</v>
      </c>
      <c r="D4" s="9" t="s">
        <v>387</v>
      </c>
      <c r="E4" s="9" t="s">
        <v>388</v>
      </c>
      <c r="F4" s="9" t="s">
        <v>389</v>
      </c>
      <c r="G4" s="9">
        <v>46208</v>
      </c>
      <c r="H4" s="9">
        <v>46217</v>
      </c>
      <c r="I4" s="9">
        <f>H4-G4+1</f>
        <v>10</v>
      </c>
      <c r="J4" s="9" t="s">
        <v>381</v>
      </c>
      <c r="K4" s="9" t="s">
        <v>390</v>
      </c>
      <c r="L4" s="9" t="s">
        <v>391</v>
      </c>
      <c r="M4" s="9" t="s">
        <v>53</v>
      </c>
      <c r="N4" s="9" t="s">
        <v>54</v>
      </c>
      <c r="O4" s="9">
        <v>0</v>
      </c>
      <c r="P4" s="9" t="str">
        <f ca="1">IF(M4="Completed","Green",IF(TODAY()&gt;H4,"Red",IF(AND(TODAY()+14&gt;H4,O4&lt;0.75),"Amber","Green")))</f>
        <v>Green</v>
      </c>
      <c r="Q4" s="9"/>
    </row>
    <row r="5" spans="1:17">
      <c r="A5" s="9" t="s">
        <v>392</v>
      </c>
      <c r="B5" s="9" t="s">
        <v>18</v>
      </c>
      <c r="C5" s="9" t="s">
        <v>13</v>
      </c>
      <c r="D5" s="9" t="s">
        <v>393</v>
      </c>
      <c r="E5" s="9" t="s">
        <v>394</v>
      </c>
      <c r="F5" s="9" t="s">
        <v>186</v>
      </c>
      <c r="G5" s="9">
        <v>46211</v>
      </c>
      <c r="H5" s="9">
        <v>46220</v>
      </c>
      <c r="I5" s="9">
        <f>H5-G5+1</f>
        <v>10</v>
      </c>
      <c r="J5" s="9" t="s">
        <v>381</v>
      </c>
      <c r="K5" s="9" t="s">
        <v>395</v>
      </c>
      <c r="L5" s="9" t="s">
        <v>396</v>
      </c>
      <c r="M5" s="9" t="s">
        <v>53</v>
      </c>
      <c r="N5" s="9" t="s">
        <v>54</v>
      </c>
      <c r="O5" s="9">
        <v>0</v>
      </c>
      <c r="P5" s="9" t="str">
        <f ca="1">IF(M5="Completed","Green",IF(TODAY()&gt;H5,"Red",IF(AND(TODAY()+14&gt;H5,O5&lt;0.75),"Amber","Green")))</f>
        <v>Green</v>
      </c>
      <c r="Q5" s="9"/>
    </row>
    <row r="6" spans="1:17">
      <c r="A6" s="9" t="s">
        <v>397</v>
      </c>
      <c r="B6" s="9" t="s">
        <v>18</v>
      </c>
      <c r="C6" s="9" t="s">
        <v>13</v>
      </c>
      <c r="D6" s="9" t="s">
        <v>398</v>
      </c>
      <c r="E6" s="9" t="s">
        <v>394</v>
      </c>
      <c r="F6" s="9" t="s">
        <v>399</v>
      </c>
      <c r="G6" s="9">
        <v>46213</v>
      </c>
      <c r="H6" s="9">
        <v>46227</v>
      </c>
      <c r="I6" s="9">
        <f>H6-G6+1</f>
        <v>15</v>
      </c>
      <c r="J6" s="9" t="s">
        <v>392</v>
      </c>
      <c r="K6" s="9" t="s">
        <v>400</v>
      </c>
      <c r="L6" s="9" t="s">
        <v>401</v>
      </c>
      <c r="M6" s="9" t="s">
        <v>53</v>
      </c>
      <c r="N6" s="9" t="s">
        <v>54</v>
      </c>
      <c r="O6" s="9">
        <v>0</v>
      </c>
      <c r="P6" s="9" t="str">
        <f ca="1">IF(M6="Completed","Green",IF(TODAY()&gt;H6,"Red",IF(AND(TODAY()+14&gt;H6,O6&lt;0.75),"Amber","Green")))</f>
        <v>Green</v>
      </c>
      <c r="Q6" s="9"/>
    </row>
    <row r="7" spans="1:17">
      <c r="A7" s="9" t="s">
        <v>402</v>
      </c>
      <c r="B7" s="9" t="s">
        <v>18</v>
      </c>
      <c r="C7" s="9" t="s">
        <v>13</v>
      </c>
      <c r="D7" s="9" t="s">
        <v>403</v>
      </c>
      <c r="E7" s="9" t="s">
        <v>377</v>
      </c>
      <c r="F7" s="9" t="s">
        <v>404</v>
      </c>
      <c r="G7" s="9">
        <v>46218</v>
      </c>
      <c r="H7" s="9">
        <v>46229</v>
      </c>
      <c r="I7" s="9">
        <f>H7-G7+1</f>
        <v>12</v>
      </c>
      <c r="J7" s="9" t="s">
        <v>405</v>
      </c>
      <c r="K7" s="9" t="s">
        <v>406</v>
      </c>
      <c r="L7" s="9" t="s">
        <v>407</v>
      </c>
      <c r="M7" s="9" t="s">
        <v>53</v>
      </c>
      <c r="N7" s="9" t="s">
        <v>54</v>
      </c>
      <c r="O7" s="9">
        <v>0</v>
      </c>
      <c r="P7" s="9" t="str">
        <f ca="1">IF(M7="Completed","Green",IF(TODAY()&gt;H7,"Red",IF(AND(TODAY()+14&gt;H7,O7&lt;0.75),"Amber","Green")))</f>
        <v>Green</v>
      </c>
      <c r="Q7" s="9"/>
    </row>
    <row r="8" spans="1:17">
      <c r="A8" s="9" t="s">
        <v>408</v>
      </c>
      <c r="B8" s="9" t="s">
        <v>18</v>
      </c>
      <c r="C8" s="9" t="s">
        <v>13</v>
      </c>
      <c r="D8" s="9" t="s">
        <v>409</v>
      </c>
      <c r="E8" s="9" t="s">
        <v>377</v>
      </c>
      <c r="F8" s="9" t="s">
        <v>410</v>
      </c>
      <c r="G8" s="9">
        <v>46228</v>
      </c>
      <c r="H8" s="9">
        <v>46237</v>
      </c>
      <c r="I8" s="9">
        <f>H8-G8+1</f>
        <v>10</v>
      </c>
      <c r="J8" s="9" t="s">
        <v>411</v>
      </c>
      <c r="K8" s="9" t="s">
        <v>412</v>
      </c>
      <c r="L8" s="9" t="s">
        <v>413</v>
      </c>
      <c r="M8" s="9" t="s">
        <v>53</v>
      </c>
      <c r="N8" s="9" t="s">
        <v>54</v>
      </c>
      <c r="O8" s="9">
        <v>0</v>
      </c>
      <c r="P8" s="9" t="str">
        <f ca="1">IF(M8="Completed","Green",IF(TODAY()&gt;H8,"Red",IF(AND(TODAY()+14&gt;H8,O8&lt;0.75),"Amber","Green")))</f>
        <v>Green</v>
      </c>
      <c r="Q8" s="9"/>
    </row>
    <row r="9" spans="1:17">
      <c r="A9" s="9" t="s">
        <v>414</v>
      </c>
      <c r="B9" s="9" t="s">
        <v>18</v>
      </c>
      <c r="C9" s="9" t="s">
        <v>15</v>
      </c>
      <c r="D9" s="9" t="s">
        <v>415</v>
      </c>
      <c r="E9" s="9" t="s">
        <v>388</v>
      </c>
      <c r="F9" s="9" t="s">
        <v>416</v>
      </c>
      <c r="G9" s="9">
        <v>46234</v>
      </c>
      <c r="H9" s="9">
        <v>46248</v>
      </c>
      <c r="I9" s="9">
        <f>H9-G9+1</f>
        <v>15</v>
      </c>
      <c r="J9" s="9" t="s">
        <v>408</v>
      </c>
      <c r="K9" s="9" t="s">
        <v>417</v>
      </c>
      <c r="L9" s="9" t="s">
        <v>418</v>
      </c>
      <c r="M9" s="9" t="s">
        <v>53</v>
      </c>
      <c r="N9" s="9" t="s">
        <v>54</v>
      </c>
      <c r="O9" s="9">
        <v>0</v>
      </c>
      <c r="P9" s="9" t="str">
        <f ca="1">IF(M9="Completed","Green",IF(TODAY()&gt;H9,"Red",IF(AND(TODAY()+14&gt;H9,O9&lt;0.75),"Amber","Green")))</f>
        <v>Green</v>
      </c>
      <c r="Q9" s="9"/>
    </row>
    <row r="10" spans="1:17">
      <c r="A10" s="9" t="s">
        <v>419</v>
      </c>
      <c r="B10" s="9" t="s">
        <v>18</v>
      </c>
      <c r="C10" s="9" t="s">
        <v>15</v>
      </c>
      <c r="D10" s="9" t="s">
        <v>420</v>
      </c>
      <c r="E10" s="9" t="s">
        <v>383</v>
      </c>
      <c r="F10" s="9" t="s">
        <v>421</v>
      </c>
      <c r="G10" s="9">
        <v>46238</v>
      </c>
      <c r="H10" s="9">
        <v>46257</v>
      </c>
      <c r="I10" s="9">
        <f>H10-G10+1</f>
        <v>20</v>
      </c>
      <c r="J10" s="9" t="s">
        <v>422</v>
      </c>
      <c r="K10" s="9" t="s">
        <v>423</v>
      </c>
      <c r="L10" s="9" t="s">
        <v>424</v>
      </c>
      <c r="M10" s="9" t="s">
        <v>53</v>
      </c>
      <c r="N10" s="9" t="s">
        <v>54</v>
      </c>
      <c r="O10" s="9">
        <v>0</v>
      </c>
      <c r="P10" s="9" t="str">
        <f ca="1">IF(M10="Completed","Green",IF(TODAY()&gt;H10,"Red",IF(AND(TODAY()+14&gt;H10,O10&lt;0.75),"Amber","Green")))</f>
        <v>Green</v>
      </c>
      <c r="Q10" s="9"/>
    </row>
    <row r="11" spans="1:17">
      <c r="A11" s="9" t="s">
        <v>425</v>
      </c>
      <c r="B11" s="9" t="s">
        <v>18</v>
      </c>
      <c r="C11" s="9" t="s">
        <v>15</v>
      </c>
      <c r="D11" s="9" t="s">
        <v>426</v>
      </c>
      <c r="E11" s="9" t="s">
        <v>383</v>
      </c>
      <c r="F11" s="9" t="s">
        <v>270</v>
      </c>
      <c r="G11" s="9">
        <v>46248</v>
      </c>
      <c r="H11" s="9">
        <v>46262</v>
      </c>
      <c r="I11" s="9">
        <f>H11-G11+1</f>
        <v>15</v>
      </c>
      <c r="J11" s="9" t="s">
        <v>419</v>
      </c>
      <c r="K11" s="9" t="s">
        <v>427</v>
      </c>
      <c r="L11" s="9" t="s">
        <v>428</v>
      </c>
      <c r="M11" s="9" t="s">
        <v>53</v>
      </c>
      <c r="N11" s="9" t="s">
        <v>54</v>
      </c>
      <c r="O11" s="9">
        <v>0</v>
      </c>
      <c r="P11" s="9" t="str">
        <f ca="1">IF(M11="Completed","Green",IF(TODAY()&gt;H11,"Red",IF(AND(TODAY()+14&gt;H11,O11&lt;0.75),"Amber","Green")))</f>
        <v>Green</v>
      </c>
      <c r="Q11" s="9"/>
    </row>
    <row r="12" spans="1:17">
      <c r="A12" s="9" t="s">
        <v>429</v>
      </c>
      <c r="B12" s="9" t="s">
        <v>18</v>
      </c>
      <c r="C12" s="9" t="s">
        <v>15</v>
      </c>
      <c r="D12" s="9" t="s">
        <v>430</v>
      </c>
      <c r="E12" s="9" t="s">
        <v>377</v>
      </c>
      <c r="F12" s="9" t="s">
        <v>90</v>
      </c>
      <c r="G12" s="9">
        <v>46253</v>
      </c>
      <c r="H12" s="9">
        <v>46262</v>
      </c>
      <c r="I12" s="9">
        <f>H12-G12+1</f>
        <v>10</v>
      </c>
      <c r="J12" s="9" t="s">
        <v>414</v>
      </c>
      <c r="K12" s="9" t="s">
        <v>431</v>
      </c>
      <c r="L12" s="9" t="s">
        <v>432</v>
      </c>
      <c r="M12" s="9" t="s">
        <v>53</v>
      </c>
      <c r="N12" s="9" t="s">
        <v>54</v>
      </c>
      <c r="O12" s="9">
        <v>0</v>
      </c>
      <c r="P12" s="9" t="str">
        <f ca="1">IF(M12="Completed","Green",IF(TODAY()&gt;H12,"Red",IF(AND(TODAY()+14&gt;H12,O12&lt;0.75),"Amber","Green")))</f>
        <v>Green</v>
      </c>
      <c r="Q12" s="9"/>
    </row>
    <row r="13" spans="1:17">
      <c r="A13" s="9" t="s">
        <v>433</v>
      </c>
      <c r="B13" s="9" t="s">
        <v>18</v>
      </c>
      <c r="C13" s="9" t="s">
        <v>17</v>
      </c>
      <c r="D13" s="9" t="s">
        <v>434</v>
      </c>
      <c r="E13" s="9" t="s">
        <v>388</v>
      </c>
      <c r="F13" s="9" t="s">
        <v>389</v>
      </c>
      <c r="G13" s="9">
        <v>46264</v>
      </c>
      <c r="H13" s="9">
        <v>46283</v>
      </c>
      <c r="I13" s="9">
        <f>H13-G13+1</f>
        <v>20</v>
      </c>
      <c r="J13" s="9" t="s">
        <v>435</v>
      </c>
      <c r="K13" s="9" t="s">
        <v>436</v>
      </c>
      <c r="L13" s="9" t="s">
        <v>437</v>
      </c>
      <c r="M13" s="9" t="s">
        <v>53</v>
      </c>
      <c r="N13" s="9" t="s">
        <v>54</v>
      </c>
      <c r="O13" s="9">
        <v>0</v>
      </c>
      <c r="P13" s="9" t="str">
        <f ca="1">IF(M13="Completed","Green",IF(TODAY()&gt;H13,"Red",IF(AND(TODAY()+14&gt;H13,O13&lt;0.75),"Amber","Green")))</f>
        <v>Green</v>
      </c>
      <c r="Q13" s="9"/>
    </row>
    <row r="14" spans="1:17">
      <c r="A14" s="9" t="s">
        <v>438</v>
      </c>
      <c r="B14" s="9" t="s">
        <v>18</v>
      </c>
      <c r="C14" s="9" t="s">
        <v>17</v>
      </c>
      <c r="D14" s="9" t="s">
        <v>439</v>
      </c>
      <c r="E14" s="9" t="s">
        <v>394</v>
      </c>
      <c r="F14" s="9" t="s">
        <v>440</v>
      </c>
      <c r="G14" s="9">
        <v>46268</v>
      </c>
      <c r="H14" s="9">
        <v>46287</v>
      </c>
      <c r="I14" s="9">
        <f>H14-G14+1</f>
        <v>20</v>
      </c>
      <c r="J14" s="9" t="s">
        <v>433</v>
      </c>
      <c r="K14" s="9" t="s">
        <v>441</v>
      </c>
      <c r="L14" s="9" t="s">
        <v>442</v>
      </c>
      <c r="M14" s="9" t="s">
        <v>53</v>
      </c>
      <c r="N14" s="9" t="s">
        <v>54</v>
      </c>
      <c r="O14" s="9">
        <v>0</v>
      </c>
      <c r="P14" s="9" t="str">
        <f ca="1">IF(M14="Completed","Green",IF(TODAY()&gt;H14,"Red",IF(AND(TODAY()+14&gt;H14,O14&lt;0.75),"Amber","Green")))</f>
        <v>Green</v>
      </c>
      <c r="Q14" s="9"/>
    </row>
    <row r="15" spans="1:17">
      <c r="A15" s="9" t="s">
        <v>443</v>
      </c>
      <c r="B15" s="9" t="s">
        <v>18</v>
      </c>
      <c r="C15" s="9" t="s">
        <v>17</v>
      </c>
      <c r="D15" s="9" t="s">
        <v>444</v>
      </c>
      <c r="E15" s="9" t="s">
        <v>377</v>
      </c>
      <c r="F15" s="9" t="s">
        <v>404</v>
      </c>
      <c r="G15" s="9">
        <v>46278</v>
      </c>
      <c r="H15" s="9">
        <v>46292</v>
      </c>
      <c r="I15" s="9">
        <f>H15-G15+1</f>
        <v>15</v>
      </c>
      <c r="J15" s="9" t="s">
        <v>438</v>
      </c>
      <c r="K15" s="9" t="s">
        <v>445</v>
      </c>
      <c r="L15" s="9" t="s">
        <v>446</v>
      </c>
      <c r="M15" s="9" t="s">
        <v>53</v>
      </c>
      <c r="N15" s="9" t="s">
        <v>54</v>
      </c>
      <c r="O15" s="9">
        <v>0</v>
      </c>
      <c r="P15" s="9" t="str">
        <f ca="1">IF(M15="Completed","Green",IF(TODAY()&gt;H15,"Red",IF(AND(TODAY()+14&gt;H15,O15&lt;0.75),"Amber","Green")))</f>
        <v>Green</v>
      </c>
      <c r="Q15" s="9"/>
    </row>
    <row r="16" spans="1:17">
      <c r="A16" s="9" t="s">
        <v>447</v>
      </c>
      <c r="B16" s="9" t="s">
        <v>18</v>
      </c>
      <c r="C16" s="9" t="s">
        <v>17</v>
      </c>
      <c r="D16" s="9" t="s">
        <v>448</v>
      </c>
      <c r="E16" s="9" t="s">
        <v>449</v>
      </c>
      <c r="F16" s="9" t="s">
        <v>450</v>
      </c>
      <c r="G16" s="9">
        <v>46288</v>
      </c>
      <c r="H16" s="9">
        <v>46297</v>
      </c>
      <c r="I16" s="9">
        <f>H16-G16+1</f>
        <v>10</v>
      </c>
      <c r="J16" s="9" t="s">
        <v>443</v>
      </c>
      <c r="K16" s="9" t="s">
        <v>451</v>
      </c>
      <c r="L16" s="9" t="s">
        <v>452</v>
      </c>
      <c r="M16" s="9" t="s">
        <v>53</v>
      </c>
      <c r="N16" s="9" t="s">
        <v>54</v>
      </c>
      <c r="O16" s="9">
        <v>0</v>
      </c>
      <c r="P16" s="9" t="str">
        <f ca="1">IF(M16="Completed","Green",IF(TODAY()&gt;H16,"Red",IF(AND(TODAY()+14&gt;H16,O16&lt;0.75),"Amber","Green")))</f>
        <v>Green</v>
      </c>
      <c r="Q16" s="9"/>
    </row>
    <row r="17" spans="1:17">
      <c r="A17" s="9" t="s">
        <v>453</v>
      </c>
      <c r="B17" s="9" t="s">
        <v>18</v>
      </c>
      <c r="C17" s="9" t="s">
        <v>19</v>
      </c>
      <c r="D17" s="9" t="s">
        <v>454</v>
      </c>
      <c r="E17" s="9" t="s">
        <v>394</v>
      </c>
      <c r="F17" s="9" t="s">
        <v>440</v>
      </c>
      <c r="G17" s="9">
        <v>46294</v>
      </c>
      <c r="H17" s="9">
        <v>46323</v>
      </c>
      <c r="I17" s="9">
        <f>H17-G17+1</f>
        <v>30</v>
      </c>
      <c r="J17" s="9" t="s">
        <v>455</v>
      </c>
      <c r="K17" s="9" t="s">
        <v>456</v>
      </c>
      <c r="L17" s="9" t="s">
        <v>457</v>
      </c>
      <c r="M17" s="9" t="s">
        <v>53</v>
      </c>
      <c r="N17" s="9" t="s">
        <v>54</v>
      </c>
      <c r="O17" s="9">
        <v>0</v>
      </c>
      <c r="P17" s="9" t="str">
        <f ca="1">IF(M17="Completed","Green",IF(TODAY()&gt;H17,"Red",IF(AND(TODAY()+14&gt;H17,O17&lt;0.75),"Amber","Green")))</f>
        <v>Green</v>
      </c>
      <c r="Q17" s="9"/>
    </row>
    <row r="18" spans="1:17">
      <c r="A18" s="9" t="s">
        <v>458</v>
      </c>
      <c r="B18" s="9" t="s">
        <v>18</v>
      </c>
      <c r="C18" s="9" t="s">
        <v>19</v>
      </c>
      <c r="D18" s="9" t="s">
        <v>459</v>
      </c>
      <c r="E18" s="9" t="s">
        <v>460</v>
      </c>
      <c r="F18" s="9" t="s">
        <v>95</v>
      </c>
      <c r="G18" s="9">
        <v>46303</v>
      </c>
      <c r="H18" s="9">
        <v>46327</v>
      </c>
      <c r="I18" s="9">
        <f>H18-G18+1</f>
        <v>25</v>
      </c>
      <c r="J18" s="9" t="s">
        <v>461</v>
      </c>
      <c r="K18" s="9" t="s">
        <v>462</v>
      </c>
      <c r="L18" s="9" t="s">
        <v>463</v>
      </c>
      <c r="M18" s="9" t="s">
        <v>53</v>
      </c>
      <c r="N18" s="9" t="s">
        <v>54</v>
      </c>
      <c r="O18" s="9">
        <v>0</v>
      </c>
      <c r="P18" s="9" t="str">
        <f ca="1">IF(M18="Completed","Green",IF(TODAY()&gt;H18,"Red",IF(AND(TODAY()+14&gt;H18,O18&lt;0.75),"Amber","Green")))</f>
        <v>Green</v>
      </c>
      <c r="Q18" s="9"/>
    </row>
    <row r="19" spans="1:17">
      <c r="A19" s="9" t="s">
        <v>464</v>
      </c>
      <c r="B19" s="9" t="s">
        <v>18</v>
      </c>
      <c r="C19" s="9" t="s">
        <v>19</v>
      </c>
      <c r="D19" s="9" t="s">
        <v>465</v>
      </c>
      <c r="E19" s="9" t="s">
        <v>388</v>
      </c>
      <c r="F19" s="9" t="s">
        <v>466</v>
      </c>
      <c r="G19" s="9">
        <v>46318</v>
      </c>
      <c r="H19" s="9">
        <v>46347</v>
      </c>
      <c r="I19" s="9">
        <f>H19-G19+1</f>
        <v>30</v>
      </c>
      <c r="J19" s="9" t="s">
        <v>458</v>
      </c>
      <c r="K19" s="9" t="s">
        <v>467</v>
      </c>
      <c r="L19" s="9" t="s">
        <v>468</v>
      </c>
      <c r="M19" s="9" t="s">
        <v>53</v>
      </c>
      <c r="N19" s="9" t="s">
        <v>54</v>
      </c>
      <c r="O19" s="9">
        <v>0</v>
      </c>
      <c r="P19" s="9" t="str">
        <f ca="1">IF(M19="Completed","Green",IF(TODAY()&gt;H19,"Red",IF(AND(TODAY()+14&gt;H19,O19&lt;0.75),"Amber","Green")))</f>
        <v>Green</v>
      </c>
      <c r="Q19" s="9"/>
    </row>
    <row r="20" spans="1:17">
      <c r="A20" s="9" t="s">
        <v>469</v>
      </c>
      <c r="B20" s="9" t="s">
        <v>18</v>
      </c>
      <c r="C20" s="9" t="s">
        <v>19</v>
      </c>
      <c r="D20" s="9" t="s">
        <v>470</v>
      </c>
      <c r="E20" s="9" t="s">
        <v>383</v>
      </c>
      <c r="F20" s="9" t="s">
        <v>389</v>
      </c>
      <c r="G20" s="9">
        <v>46333</v>
      </c>
      <c r="H20" s="9">
        <v>46362</v>
      </c>
      <c r="I20" s="9">
        <f>H20-G20+1</f>
        <v>30</v>
      </c>
      <c r="J20" s="9" t="s">
        <v>464</v>
      </c>
      <c r="K20" s="9" t="s">
        <v>471</v>
      </c>
      <c r="L20" s="9" t="s">
        <v>472</v>
      </c>
      <c r="M20" s="9" t="s">
        <v>53</v>
      </c>
      <c r="N20" s="9" t="s">
        <v>54</v>
      </c>
      <c r="O20" s="9">
        <v>0</v>
      </c>
      <c r="P20" s="9" t="str">
        <f ca="1">IF(M20="Completed","Green",IF(TODAY()&gt;H20,"Red",IF(AND(TODAY()+14&gt;H20,O20&lt;0.75),"Amber","Green")))</f>
        <v>Green</v>
      </c>
      <c r="Q20" s="9"/>
    </row>
    <row r="21" spans="1:17">
      <c r="A21" s="9" t="s">
        <v>473</v>
      </c>
      <c r="B21" s="9" t="s">
        <v>18</v>
      </c>
      <c r="C21" s="9" t="s">
        <v>19</v>
      </c>
      <c r="D21" s="9" t="s">
        <v>474</v>
      </c>
      <c r="E21" s="9" t="s">
        <v>377</v>
      </c>
      <c r="F21" s="9" t="s">
        <v>50</v>
      </c>
      <c r="G21" s="9">
        <v>46363</v>
      </c>
      <c r="H21" s="9">
        <v>46382</v>
      </c>
      <c r="I21" s="9">
        <f>H21-G21+1</f>
        <v>20</v>
      </c>
      <c r="J21" s="9" t="s">
        <v>475</v>
      </c>
      <c r="K21" s="9" t="s">
        <v>476</v>
      </c>
      <c r="L21" s="9" t="s">
        <v>477</v>
      </c>
      <c r="M21" s="9" t="s">
        <v>53</v>
      </c>
      <c r="N21" s="9" t="s">
        <v>54</v>
      </c>
      <c r="O21" s="9">
        <v>0</v>
      </c>
      <c r="P21" s="9" t="str">
        <f ca="1">IF(M21="Completed","Green",IF(TODAY()&gt;H21,"Red",IF(AND(TODAY()+14&gt;H21,O21&lt;0.75),"Amber","Green")))</f>
        <v>Green</v>
      </c>
      <c r="Q21" s="9"/>
    </row>
    <row r="22" spans="1:1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</sheetData>
  <conditionalFormatting sqref="O2:O250">
    <cfRule type="dataBar" priority="1">
      <dataBar>
        <cfvo type="min"/>
        <cfvo type="max"/>
        <color rgb="FF70AD47"/>
      </dataBar>
    </cfRule>
  </conditionalFormatting>
  <conditionalFormatting sqref="P2:P250">
    <cfRule type="expression" dxfId="11" priority="2">
      <formula>P2="Red"</formula>
    </cfRule>
    <cfRule type="expression" dxfId="10" priority="3">
      <formula>P2="Amber"</formula>
    </cfRule>
    <cfRule type="expression" dxfId="9" priority="4">
      <formula>P2="Green"</formula>
    </cfRule>
  </conditionalFormatting>
  <conditionalFormatting sqref="O2:O250">
    <cfRule type="dataBar" priority="5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{7C259EC3-8237-0750-6796-98D27759D4F4}</x14:id>
        </ext>
      </extLst>
    </cfRule>
  </conditionalFormatting>
  <dataValidations count="2">
    <dataValidation type="list" sqref="M2:M250" xr:uid="{00000000-0002-0000-0500-000000000000}">
      <formula1>"Not Started,In Progress,Blocked,At Risk,Completed"</formula1>
    </dataValidation>
    <dataValidation type="list" sqref="N2:N250" xr:uid="{00000000-0002-0000-0500-000001000000}">
      <formula1>"Critical,High,Medium,Low"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259EC3-8237-0750-6796-98D27759D4F4}">
            <x14:dataBar>
              <x14:cfvo type="min"/>
              <x14:cfvo type="max"/>
              <x14:negativeFillColor auto="1"/>
              <x14:axisColor auto="1"/>
            </x14:dataBar>
          </x14:cfRule>
          <xm:sqref>O2:O250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0"/>
  <sheetViews>
    <sheetView zoomScaleNormal="100" zoomScaleSheetLayoutView="100" workbookViewId="0"/>
  </sheetViews>
  <sheetFormatPr defaultRowHeight="15"/>
  <cols>
    <col min="1" max="1" width="10" customWidth="1"/>
    <col min="2" max="2" width="22" customWidth="1"/>
    <col min="3" max="3" width="24" customWidth="1"/>
    <col min="4" max="4" width="48" customWidth="1"/>
    <col min="5" max="6" width="24" customWidth="1"/>
    <col min="7" max="9" width="12" customWidth="1"/>
    <col min="10" max="10" width="18" customWidth="1"/>
    <col min="11" max="11" width="30" customWidth="1"/>
    <col min="12" max="12" width="38" customWidth="1"/>
    <col min="13" max="14" width="14" customWidth="1"/>
    <col min="15" max="16" width="12" customWidth="1"/>
    <col min="17" max="17" width="34" customWidth="1"/>
  </cols>
  <sheetData>
    <row r="1" spans="1:17" ht="32.1" customHeight="1">
      <c r="A1" s="6" t="s">
        <v>32</v>
      </c>
      <c r="B1" s="6" t="s">
        <v>7</v>
      </c>
      <c r="C1" s="6" t="s">
        <v>11</v>
      </c>
      <c r="D1" s="6" t="s">
        <v>33</v>
      </c>
      <c r="E1" s="6" t="s">
        <v>34</v>
      </c>
      <c r="F1" s="6" t="s">
        <v>35</v>
      </c>
      <c r="G1" s="7" t="s">
        <v>36</v>
      </c>
      <c r="H1" s="7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8" t="s">
        <v>44</v>
      </c>
      <c r="P1" s="6" t="s">
        <v>45</v>
      </c>
      <c r="Q1" s="6" t="s">
        <v>46</v>
      </c>
    </row>
    <row r="2" spans="1:17">
      <c r="A2" s="9" t="s">
        <v>478</v>
      </c>
      <c r="B2" s="9" t="s">
        <v>20</v>
      </c>
      <c r="C2" s="9" t="s">
        <v>13</v>
      </c>
      <c r="D2" s="9" t="s">
        <v>479</v>
      </c>
      <c r="E2" s="9" t="s">
        <v>480</v>
      </c>
      <c r="F2" s="9" t="s">
        <v>50</v>
      </c>
      <c r="G2" s="9">
        <v>46204</v>
      </c>
      <c r="H2" s="9">
        <v>46208</v>
      </c>
      <c r="I2" s="9">
        <f>H2-G2+1</f>
        <v>5</v>
      </c>
      <c r="J2" s="9"/>
      <c r="K2" s="9" t="s">
        <v>481</v>
      </c>
      <c r="L2" s="9" t="s">
        <v>482</v>
      </c>
      <c r="M2" s="9" t="s">
        <v>53</v>
      </c>
      <c r="N2" s="9" t="s">
        <v>54</v>
      </c>
      <c r="O2" s="9">
        <v>0</v>
      </c>
      <c r="P2" s="9" t="str">
        <f ca="1">IF(M2="Completed","Green",IF(TODAY()&gt;H2,"Red",IF(AND(TODAY()+14&gt;H2,O2&lt;0.75),"Amber","Green")))</f>
        <v>Green</v>
      </c>
      <c r="Q2" s="9"/>
    </row>
    <row r="3" spans="1:17">
      <c r="A3" s="9" t="s">
        <v>483</v>
      </c>
      <c r="B3" s="9" t="s">
        <v>20</v>
      </c>
      <c r="C3" s="9" t="s">
        <v>13</v>
      </c>
      <c r="D3" s="9" t="s">
        <v>484</v>
      </c>
      <c r="E3" s="9" t="s">
        <v>485</v>
      </c>
      <c r="F3" s="9" t="s">
        <v>486</v>
      </c>
      <c r="G3" s="9">
        <v>46208</v>
      </c>
      <c r="H3" s="9">
        <v>46217</v>
      </c>
      <c r="I3" s="9">
        <f>H3-G3+1</f>
        <v>10</v>
      </c>
      <c r="J3" s="9" t="s">
        <v>478</v>
      </c>
      <c r="K3" s="9" t="s">
        <v>487</v>
      </c>
      <c r="L3" s="9" t="s">
        <v>488</v>
      </c>
      <c r="M3" s="9" t="s">
        <v>53</v>
      </c>
      <c r="N3" s="9" t="s">
        <v>54</v>
      </c>
      <c r="O3" s="9">
        <v>0</v>
      </c>
      <c r="P3" s="9" t="str">
        <f ca="1">IF(M3="Completed","Green",IF(TODAY()&gt;H3,"Red",IF(AND(TODAY()+14&gt;H3,O3&lt;0.75),"Amber","Green")))</f>
        <v>Green</v>
      </c>
      <c r="Q3" s="9"/>
    </row>
    <row r="4" spans="1:17">
      <c r="A4" s="9" t="s">
        <v>489</v>
      </c>
      <c r="B4" s="9" t="s">
        <v>20</v>
      </c>
      <c r="C4" s="9" t="s">
        <v>13</v>
      </c>
      <c r="D4" s="9" t="s">
        <v>490</v>
      </c>
      <c r="E4" s="9" t="s">
        <v>89</v>
      </c>
      <c r="F4" s="9" t="s">
        <v>90</v>
      </c>
      <c r="G4" s="9">
        <v>46211</v>
      </c>
      <c r="H4" s="9">
        <v>46222</v>
      </c>
      <c r="I4" s="9">
        <f>H4-G4+1</f>
        <v>12</v>
      </c>
      <c r="J4" s="9" t="s">
        <v>478</v>
      </c>
      <c r="K4" s="9" t="s">
        <v>491</v>
      </c>
      <c r="L4" s="9" t="s">
        <v>492</v>
      </c>
      <c r="M4" s="9" t="s">
        <v>53</v>
      </c>
      <c r="N4" s="9" t="s">
        <v>54</v>
      </c>
      <c r="O4" s="9">
        <v>0</v>
      </c>
      <c r="P4" s="9" t="str">
        <f ca="1">IF(M4="Completed","Green",IF(TODAY()&gt;H4,"Red",IF(AND(TODAY()+14&gt;H4,O4&lt;0.75),"Amber","Green")))</f>
        <v>Green</v>
      </c>
      <c r="Q4" s="9"/>
    </row>
    <row r="5" spans="1:17">
      <c r="A5" s="9" t="s">
        <v>493</v>
      </c>
      <c r="B5" s="9" t="s">
        <v>20</v>
      </c>
      <c r="C5" s="9" t="s">
        <v>13</v>
      </c>
      <c r="D5" s="9" t="s">
        <v>494</v>
      </c>
      <c r="E5" s="9" t="s">
        <v>49</v>
      </c>
      <c r="F5" s="9" t="s">
        <v>90</v>
      </c>
      <c r="G5" s="9">
        <v>46215</v>
      </c>
      <c r="H5" s="9">
        <v>46224</v>
      </c>
      <c r="I5" s="9">
        <f>H5-G5+1</f>
        <v>10</v>
      </c>
      <c r="J5" s="9" t="s">
        <v>495</v>
      </c>
      <c r="K5" s="9" t="s">
        <v>496</v>
      </c>
      <c r="L5" s="9" t="s">
        <v>497</v>
      </c>
      <c r="M5" s="9" t="s">
        <v>53</v>
      </c>
      <c r="N5" s="9" t="s">
        <v>54</v>
      </c>
      <c r="O5" s="9">
        <v>0</v>
      </c>
      <c r="P5" s="9" t="str">
        <f ca="1">IF(M5="Completed","Green",IF(TODAY()&gt;H5,"Red",IF(AND(TODAY()+14&gt;H5,O5&lt;0.75),"Amber","Green")))</f>
        <v>Green</v>
      </c>
      <c r="Q5" s="9"/>
    </row>
    <row r="6" spans="1:17">
      <c r="A6" s="9" t="s">
        <v>498</v>
      </c>
      <c r="B6" s="9" t="s">
        <v>20</v>
      </c>
      <c r="C6" s="9" t="s">
        <v>13</v>
      </c>
      <c r="D6" s="9" t="s">
        <v>499</v>
      </c>
      <c r="E6" s="9" t="s">
        <v>485</v>
      </c>
      <c r="F6" s="9" t="s">
        <v>90</v>
      </c>
      <c r="G6" s="9">
        <v>46218</v>
      </c>
      <c r="H6" s="9">
        <v>46232</v>
      </c>
      <c r="I6" s="9">
        <f>H6-G6+1</f>
        <v>15</v>
      </c>
      <c r="J6" s="9" t="s">
        <v>493</v>
      </c>
      <c r="K6" s="9" t="s">
        <v>500</v>
      </c>
      <c r="L6" s="9" t="s">
        <v>501</v>
      </c>
      <c r="M6" s="9" t="s">
        <v>53</v>
      </c>
      <c r="N6" s="9" t="s">
        <v>54</v>
      </c>
      <c r="O6" s="9">
        <v>0</v>
      </c>
      <c r="P6" s="9" t="str">
        <f ca="1">IF(M6="Completed","Green",IF(TODAY()&gt;H6,"Red",IF(AND(TODAY()+14&gt;H6,O6&lt;0.75),"Amber","Green")))</f>
        <v>Green</v>
      </c>
      <c r="Q6" s="9"/>
    </row>
    <row r="7" spans="1:17">
      <c r="A7" s="9" t="s">
        <v>502</v>
      </c>
      <c r="B7" s="9" t="s">
        <v>20</v>
      </c>
      <c r="C7" s="9" t="s">
        <v>13</v>
      </c>
      <c r="D7" s="9" t="s">
        <v>503</v>
      </c>
      <c r="E7" s="9" t="s">
        <v>504</v>
      </c>
      <c r="F7" s="9" t="s">
        <v>505</v>
      </c>
      <c r="G7" s="9">
        <v>46223</v>
      </c>
      <c r="H7" s="9">
        <v>46234</v>
      </c>
      <c r="I7" s="9">
        <f>H7-G7+1</f>
        <v>12</v>
      </c>
      <c r="J7" s="9" t="s">
        <v>506</v>
      </c>
      <c r="K7" s="9" t="s">
        <v>507</v>
      </c>
      <c r="L7" s="9" t="s">
        <v>508</v>
      </c>
      <c r="M7" s="9" t="s">
        <v>53</v>
      </c>
      <c r="N7" s="9" t="s">
        <v>54</v>
      </c>
      <c r="O7" s="9">
        <v>0</v>
      </c>
      <c r="P7" s="9" t="str">
        <f ca="1">IF(M7="Completed","Green",IF(TODAY()&gt;H7,"Red",IF(AND(TODAY()+14&gt;H7,O7&lt;0.75),"Amber","Green")))</f>
        <v>Green</v>
      </c>
      <c r="Q7" s="9"/>
    </row>
    <row r="8" spans="1:17">
      <c r="A8" s="9" t="s">
        <v>509</v>
      </c>
      <c r="B8" s="9" t="s">
        <v>20</v>
      </c>
      <c r="C8" s="9" t="s">
        <v>13</v>
      </c>
      <c r="D8" s="9" t="s">
        <v>510</v>
      </c>
      <c r="E8" s="9" t="s">
        <v>485</v>
      </c>
      <c r="F8" s="9" t="s">
        <v>511</v>
      </c>
      <c r="G8" s="9">
        <v>46228</v>
      </c>
      <c r="H8" s="9">
        <v>46237</v>
      </c>
      <c r="I8" s="9">
        <f>H8-G8+1</f>
        <v>10</v>
      </c>
      <c r="J8" s="9" t="s">
        <v>512</v>
      </c>
      <c r="K8" s="9" t="s">
        <v>513</v>
      </c>
      <c r="L8" s="9" t="s">
        <v>514</v>
      </c>
      <c r="M8" s="9" t="s">
        <v>53</v>
      </c>
      <c r="N8" s="9" t="s">
        <v>54</v>
      </c>
      <c r="O8" s="9">
        <v>0</v>
      </c>
      <c r="P8" s="9" t="str">
        <f ca="1">IF(M8="Completed","Green",IF(TODAY()&gt;H8,"Red",IF(AND(TODAY()+14&gt;H8,O8&lt;0.75),"Amber","Green")))</f>
        <v>Green</v>
      </c>
      <c r="Q8" s="9"/>
    </row>
    <row r="9" spans="1:17">
      <c r="A9" s="9" t="s">
        <v>515</v>
      </c>
      <c r="B9" s="9" t="s">
        <v>20</v>
      </c>
      <c r="C9" s="9" t="s">
        <v>15</v>
      </c>
      <c r="D9" s="9" t="s">
        <v>516</v>
      </c>
      <c r="E9" s="9" t="s">
        <v>517</v>
      </c>
      <c r="F9" s="9" t="s">
        <v>505</v>
      </c>
      <c r="G9" s="9">
        <v>46234</v>
      </c>
      <c r="H9" s="9">
        <v>46243</v>
      </c>
      <c r="I9" s="9">
        <f>H9-G9+1</f>
        <v>10</v>
      </c>
      <c r="J9" s="9" t="s">
        <v>518</v>
      </c>
      <c r="K9" s="9" t="s">
        <v>519</v>
      </c>
      <c r="L9" s="9" t="s">
        <v>520</v>
      </c>
      <c r="M9" s="9" t="s">
        <v>53</v>
      </c>
      <c r="N9" s="9" t="s">
        <v>54</v>
      </c>
      <c r="O9" s="9">
        <v>0</v>
      </c>
      <c r="P9" s="9" t="str">
        <f ca="1">IF(M9="Completed","Green",IF(TODAY()&gt;H9,"Red",IF(AND(TODAY()+14&gt;H9,O9&lt;0.75),"Amber","Green")))</f>
        <v>Green</v>
      </c>
      <c r="Q9" s="9"/>
    </row>
    <row r="10" spans="1:17">
      <c r="A10" s="9" t="s">
        <v>521</v>
      </c>
      <c r="B10" s="9" t="s">
        <v>20</v>
      </c>
      <c r="C10" s="9" t="s">
        <v>15</v>
      </c>
      <c r="D10" s="9" t="s">
        <v>522</v>
      </c>
      <c r="E10" s="9" t="s">
        <v>517</v>
      </c>
      <c r="F10" s="9" t="s">
        <v>505</v>
      </c>
      <c r="G10" s="9">
        <v>46243</v>
      </c>
      <c r="H10" s="9">
        <v>46262</v>
      </c>
      <c r="I10" s="9">
        <f>H10-G10+1</f>
        <v>20</v>
      </c>
      <c r="J10" s="9" t="s">
        <v>515</v>
      </c>
      <c r="K10" s="9" t="s">
        <v>523</v>
      </c>
      <c r="L10" s="9" t="s">
        <v>524</v>
      </c>
      <c r="M10" s="9" t="s">
        <v>53</v>
      </c>
      <c r="N10" s="9" t="s">
        <v>54</v>
      </c>
      <c r="O10" s="9">
        <v>0</v>
      </c>
      <c r="P10" s="9" t="str">
        <f ca="1">IF(M10="Completed","Green",IF(TODAY()&gt;H10,"Red",IF(AND(TODAY()+14&gt;H10,O10&lt;0.75),"Amber","Green")))</f>
        <v>Green</v>
      </c>
      <c r="Q10" s="9"/>
    </row>
    <row r="11" spans="1:17">
      <c r="A11" s="9" t="s">
        <v>525</v>
      </c>
      <c r="B11" s="9" t="s">
        <v>20</v>
      </c>
      <c r="C11" s="9" t="s">
        <v>15</v>
      </c>
      <c r="D11" s="9" t="s">
        <v>526</v>
      </c>
      <c r="E11" s="9" t="s">
        <v>101</v>
      </c>
      <c r="F11" s="9" t="s">
        <v>58</v>
      </c>
      <c r="G11" s="9">
        <v>46253</v>
      </c>
      <c r="H11" s="9">
        <v>46262</v>
      </c>
      <c r="I11" s="9">
        <f>H11-G11+1</f>
        <v>10</v>
      </c>
      <c r="J11" s="9" t="s">
        <v>527</v>
      </c>
      <c r="K11" s="9" t="s">
        <v>528</v>
      </c>
      <c r="L11" s="9" t="s">
        <v>529</v>
      </c>
      <c r="M11" s="9" t="s">
        <v>53</v>
      </c>
      <c r="N11" s="9" t="s">
        <v>54</v>
      </c>
      <c r="O11" s="9">
        <v>0</v>
      </c>
      <c r="P11" s="9" t="str">
        <f ca="1">IF(M11="Completed","Green",IF(TODAY()&gt;H11,"Red",IF(AND(TODAY()+14&gt;H11,O11&lt;0.75),"Amber","Green")))</f>
        <v>Green</v>
      </c>
      <c r="Q11" s="9"/>
    </row>
    <row r="12" spans="1:17">
      <c r="A12" s="9" t="s">
        <v>530</v>
      </c>
      <c r="B12" s="9" t="s">
        <v>20</v>
      </c>
      <c r="C12" s="9" t="s">
        <v>17</v>
      </c>
      <c r="D12" s="9" t="s">
        <v>531</v>
      </c>
      <c r="E12" s="9" t="s">
        <v>480</v>
      </c>
      <c r="F12" s="9" t="s">
        <v>127</v>
      </c>
      <c r="G12" s="9">
        <v>46264</v>
      </c>
      <c r="H12" s="9">
        <v>46283</v>
      </c>
      <c r="I12" s="9">
        <f>H12-G12+1</f>
        <v>20</v>
      </c>
      <c r="J12" s="9" t="s">
        <v>532</v>
      </c>
      <c r="K12" s="9" t="s">
        <v>533</v>
      </c>
      <c r="L12" s="9" t="s">
        <v>534</v>
      </c>
      <c r="M12" s="9" t="s">
        <v>53</v>
      </c>
      <c r="N12" s="9" t="s">
        <v>54</v>
      </c>
      <c r="O12" s="9">
        <v>0</v>
      </c>
      <c r="P12" s="9" t="str">
        <f ca="1">IF(M12="Completed","Green",IF(TODAY()&gt;H12,"Red",IF(AND(TODAY()+14&gt;H12,O12&lt;0.75),"Amber","Green")))</f>
        <v>Green</v>
      </c>
      <c r="Q12" s="9"/>
    </row>
    <row r="13" spans="1:17">
      <c r="A13" s="9" t="s">
        <v>535</v>
      </c>
      <c r="B13" s="9" t="s">
        <v>20</v>
      </c>
      <c r="C13" s="9" t="s">
        <v>17</v>
      </c>
      <c r="D13" s="9" t="s">
        <v>536</v>
      </c>
      <c r="E13" s="9" t="s">
        <v>485</v>
      </c>
      <c r="F13" s="9" t="s">
        <v>90</v>
      </c>
      <c r="G13" s="9">
        <v>46268</v>
      </c>
      <c r="H13" s="9">
        <v>46292</v>
      </c>
      <c r="I13" s="9">
        <f>H13-G13+1</f>
        <v>25</v>
      </c>
      <c r="J13" s="9" t="s">
        <v>537</v>
      </c>
      <c r="K13" s="9" t="s">
        <v>538</v>
      </c>
      <c r="L13" s="9" t="s">
        <v>539</v>
      </c>
      <c r="M13" s="9" t="s">
        <v>53</v>
      </c>
      <c r="N13" s="9" t="s">
        <v>54</v>
      </c>
      <c r="O13" s="9">
        <v>0</v>
      </c>
      <c r="P13" s="9" t="str">
        <f ca="1">IF(M13="Completed","Green",IF(TODAY()&gt;H13,"Red",IF(AND(TODAY()+14&gt;H13,O13&lt;0.75),"Amber","Green")))</f>
        <v>Green</v>
      </c>
      <c r="Q13" s="9"/>
    </row>
    <row r="14" spans="1:17">
      <c r="A14" s="9" t="s">
        <v>540</v>
      </c>
      <c r="B14" s="9" t="s">
        <v>20</v>
      </c>
      <c r="C14" s="9" t="s">
        <v>17</v>
      </c>
      <c r="D14" s="9" t="s">
        <v>541</v>
      </c>
      <c r="E14" s="9" t="s">
        <v>222</v>
      </c>
      <c r="F14" s="9" t="s">
        <v>211</v>
      </c>
      <c r="G14" s="9">
        <v>46278</v>
      </c>
      <c r="H14" s="9">
        <v>46292</v>
      </c>
      <c r="I14" s="9">
        <f>H14-G14+1</f>
        <v>15</v>
      </c>
      <c r="J14" s="9" t="s">
        <v>542</v>
      </c>
      <c r="K14" s="9" t="s">
        <v>543</v>
      </c>
      <c r="L14" s="9" t="s">
        <v>544</v>
      </c>
      <c r="M14" s="9" t="s">
        <v>53</v>
      </c>
      <c r="N14" s="9" t="s">
        <v>54</v>
      </c>
      <c r="O14" s="9">
        <v>0</v>
      </c>
      <c r="P14" s="9" t="str">
        <f ca="1">IF(M14="Completed","Green",IF(TODAY()&gt;H14,"Red",IF(AND(TODAY()+14&gt;H14,O14&lt;0.75),"Amber","Green")))</f>
        <v>Green</v>
      </c>
      <c r="Q14" s="9"/>
    </row>
    <row r="15" spans="1:17">
      <c r="A15" s="9" t="s">
        <v>545</v>
      </c>
      <c r="B15" s="9" t="s">
        <v>20</v>
      </c>
      <c r="C15" s="9" t="s">
        <v>17</v>
      </c>
      <c r="D15" s="9" t="s">
        <v>546</v>
      </c>
      <c r="E15" s="9" t="s">
        <v>480</v>
      </c>
      <c r="F15" s="9" t="s">
        <v>50</v>
      </c>
      <c r="G15" s="9">
        <v>46293</v>
      </c>
      <c r="H15" s="9">
        <v>46312</v>
      </c>
      <c r="I15" s="9">
        <f>H15-G15+1</f>
        <v>20</v>
      </c>
      <c r="J15" s="9" t="s">
        <v>547</v>
      </c>
      <c r="K15" s="9" t="s">
        <v>548</v>
      </c>
      <c r="L15" s="9" t="s">
        <v>549</v>
      </c>
      <c r="M15" s="9" t="s">
        <v>53</v>
      </c>
      <c r="N15" s="9" t="s">
        <v>54</v>
      </c>
      <c r="O15" s="9">
        <v>0</v>
      </c>
      <c r="P15" s="9" t="str">
        <f ca="1">IF(M15="Completed","Green",IF(TODAY()&gt;H15,"Red",IF(AND(TODAY()+14&gt;H15,O15&lt;0.75),"Amber","Green")))</f>
        <v>Green</v>
      </c>
      <c r="Q15" s="9"/>
    </row>
    <row r="16" spans="1:17">
      <c r="A16" s="9" t="s">
        <v>550</v>
      </c>
      <c r="B16" s="9" t="s">
        <v>20</v>
      </c>
      <c r="C16" s="9" t="s">
        <v>19</v>
      </c>
      <c r="D16" s="9" t="s">
        <v>551</v>
      </c>
      <c r="E16" s="9" t="s">
        <v>101</v>
      </c>
      <c r="F16" s="9" t="s">
        <v>58</v>
      </c>
      <c r="G16" s="9">
        <v>46294</v>
      </c>
      <c r="H16" s="9">
        <v>46323</v>
      </c>
      <c r="I16" s="9">
        <f>H16-G16+1</f>
        <v>30</v>
      </c>
      <c r="J16" s="9" t="s">
        <v>545</v>
      </c>
      <c r="K16" s="9" t="s">
        <v>552</v>
      </c>
      <c r="L16" s="9" t="s">
        <v>553</v>
      </c>
      <c r="M16" s="9" t="s">
        <v>53</v>
      </c>
      <c r="N16" s="9" t="s">
        <v>54</v>
      </c>
      <c r="O16" s="9">
        <v>0</v>
      </c>
      <c r="P16" s="9" t="str">
        <f ca="1">IF(M16="Completed","Green",IF(TODAY()&gt;H16,"Red",IF(AND(TODAY()+14&gt;H16,O16&lt;0.75),"Amber","Green")))</f>
        <v>Green</v>
      </c>
      <c r="Q16" s="9"/>
    </row>
    <row r="17" spans="1:17">
      <c r="A17" s="9" t="s">
        <v>554</v>
      </c>
      <c r="B17" s="9" t="s">
        <v>20</v>
      </c>
      <c r="C17" s="9" t="s">
        <v>19</v>
      </c>
      <c r="D17" s="9" t="s">
        <v>555</v>
      </c>
      <c r="E17" s="9" t="s">
        <v>556</v>
      </c>
      <c r="F17" s="9" t="s">
        <v>90</v>
      </c>
      <c r="G17" s="9">
        <v>46303</v>
      </c>
      <c r="H17" s="9">
        <v>46337</v>
      </c>
      <c r="I17" s="9">
        <f>H17-G17+1</f>
        <v>35</v>
      </c>
      <c r="J17" s="9" t="s">
        <v>557</v>
      </c>
      <c r="K17" s="9" t="s">
        <v>558</v>
      </c>
      <c r="L17" s="9" t="s">
        <v>559</v>
      </c>
      <c r="M17" s="9" t="s">
        <v>53</v>
      </c>
      <c r="N17" s="9" t="s">
        <v>54</v>
      </c>
      <c r="O17" s="9">
        <v>0</v>
      </c>
      <c r="P17" s="9" t="str">
        <f ca="1">IF(M17="Completed","Green",IF(TODAY()&gt;H17,"Red",IF(AND(TODAY()+14&gt;H17,O17&lt;0.75),"Amber","Green")))</f>
        <v>Green</v>
      </c>
      <c r="Q17" s="9"/>
    </row>
    <row r="18" spans="1:17">
      <c r="A18" s="9" t="s">
        <v>560</v>
      </c>
      <c r="B18" s="9" t="s">
        <v>20</v>
      </c>
      <c r="C18" s="9" t="s">
        <v>19</v>
      </c>
      <c r="D18" s="9" t="s">
        <v>561</v>
      </c>
      <c r="E18" s="9" t="s">
        <v>49</v>
      </c>
      <c r="F18" s="9" t="s">
        <v>90</v>
      </c>
      <c r="G18" s="9">
        <v>46318</v>
      </c>
      <c r="H18" s="9">
        <v>46347</v>
      </c>
      <c r="I18" s="9">
        <f>H18-G18+1</f>
        <v>30</v>
      </c>
      <c r="J18" s="9" t="s">
        <v>562</v>
      </c>
      <c r="K18" s="9" t="s">
        <v>563</v>
      </c>
      <c r="L18" s="9" t="s">
        <v>564</v>
      </c>
      <c r="M18" s="9" t="s">
        <v>53</v>
      </c>
      <c r="N18" s="9" t="s">
        <v>54</v>
      </c>
      <c r="O18" s="9">
        <v>0</v>
      </c>
      <c r="P18" s="9" t="str">
        <f ca="1">IF(M18="Completed","Green",IF(TODAY()&gt;H18,"Red",IF(AND(TODAY()+14&gt;H18,O18&lt;0.75),"Amber","Green")))</f>
        <v>Green</v>
      </c>
      <c r="Q18" s="9"/>
    </row>
    <row r="19" spans="1:17">
      <c r="A19" s="9" t="s">
        <v>565</v>
      </c>
      <c r="B19" s="9" t="s">
        <v>20</v>
      </c>
      <c r="C19" s="9" t="s">
        <v>19</v>
      </c>
      <c r="D19" s="9" t="s">
        <v>566</v>
      </c>
      <c r="E19" s="9" t="s">
        <v>57</v>
      </c>
      <c r="F19" s="9" t="s">
        <v>567</v>
      </c>
      <c r="G19" s="9">
        <v>46333</v>
      </c>
      <c r="H19" s="9">
        <v>46357</v>
      </c>
      <c r="I19" s="9">
        <f>H19-G19+1</f>
        <v>25</v>
      </c>
      <c r="J19" s="9" t="s">
        <v>568</v>
      </c>
      <c r="K19" s="9" t="s">
        <v>569</v>
      </c>
      <c r="L19" s="9" t="s">
        <v>570</v>
      </c>
      <c r="M19" s="9" t="s">
        <v>53</v>
      </c>
      <c r="N19" s="9" t="s">
        <v>54</v>
      </c>
      <c r="O19" s="9">
        <v>0</v>
      </c>
      <c r="P19" s="9" t="str">
        <f ca="1">IF(M19="Completed","Green",IF(TODAY()&gt;H19,"Red",IF(AND(TODAY()+14&gt;H19,O19&lt;0.75),"Amber","Green")))</f>
        <v>Green</v>
      </c>
      <c r="Q19" s="9"/>
    </row>
    <row r="20" spans="1:17">
      <c r="A20" s="9" t="s">
        <v>571</v>
      </c>
      <c r="B20" s="9" t="s">
        <v>20</v>
      </c>
      <c r="C20" s="9" t="s">
        <v>19</v>
      </c>
      <c r="D20" s="9" t="s">
        <v>572</v>
      </c>
      <c r="E20" s="9" t="s">
        <v>480</v>
      </c>
      <c r="F20" s="9" t="s">
        <v>50</v>
      </c>
      <c r="G20" s="9">
        <v>46353</v>
      </c>
      <c r="H20" s="9">
        <v>46382</v>
      </c>
      <c r="I20" s="9">
        <f>H20-G20+1</f>
        <v>30</v>
      </c>
      <c r="J20" s="9" t="s">
        <v>573</v>
      </c>
      <c r="K20" s="9" t="s">
        <v>574</v>
      </c>
      <c r="L20" s="9" t="s">
        <v>575</v>
      </c>
      <c r="M20" s="9" t="s">
        <v>53</v>
      </c>
      <c r="N20" s="9" t="s">
        <v>54</v>
      </c>
      <c r="O20" s="9">
        <v>0</v>
      </c>
      <c r="P20" s="9" t="str">
        <f ca="1">IF(M20="Completed","Green",IF(TODAY()&gt;H20,"Red",IF(AND(TODAY()+14&gt;H20,O20&lt;0.75),"Amber","Green")))</f>
        <v>Green</v>
      </c>
      <c r="Q20" s="9"/>
    </row>
    <row r="21" spans="1:1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</sheetData>
  <conditionalFormatting sqref="O2:O250">
    <cfRule type="dataBar" priority="1">
      <dataBar>
        <cfvo type="min"/>
        <cfvo type="max"/>
        <color rgb="FF70AD47"/>
      </dataBar>
    </cfRule>
  </conditionalFormatting>
  <conditionalFormatting sqref="P2:P250">
    <cfRule type="expression" dxfId="8" priority="2">
      <formula>P2="Red"</formula>
    </cfRule>
    <cfRule type="expression" dxfId="7" priority="3">
      <formula>P2="Amber"</formula>
    </cfRule>
    <cfRule type="expression" dxfId="6" priority="4">
      <formula>P2="Green"</formula>
    </cfRule>
  </conditionalFormatting>
  <conditionalFormatting sqref="O2:O250">
    <cfRule type="dataBar" priority="5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{EB16F3CA-273F-2F51-D030-EDF4806574D8}</x14:id>
        </ext>
      </extLst>
    </cfRule>
  </conditionalFormatting>
  <dataValidations count="2">
    <dataValidation type="list" sqref="M2:M250" xr:uid="{00000000-0002-0000-0600-000000000000}">
      <formula1>"Not Started,In Progress,Blocked,At Risk,Completed"</formula1>
    </dataValidation>
    <dataValidation type="list" sqref="N2:N250" xr:uid="{00000000-0002-0000-0600-000001000000}">
      <formula1>"Critical,High,Medium,Low"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16F3CA-273F-2F51-D030-EDF4806574D8}">
            <x14:dataBar>
              <x14:cfvo type="min"/>
              <x14:cfvo type="max"/>
              <x14:negativeFillColor auto="1"/>
              <x14:axisColor auto="1"/>
            </x14:dataBar>
          </x14:cfRule>
          <xm:sqref>O2:O250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0"/>
  <sheetViews>
    <sheetView topLeftCell="C1" zoomScaleNormal="100" zoomScaleSheetLayoutView="100" workbookViewId="0"/>
  </sheetViews>
  <sheetFormatPr defaultRowHeight="15"/>
  <cols>
    <col min="1" max="1" width="10" customWidth="1"/>
    <col min="2" max="2" width="22" customWidth="1"/>
    <col min="3" max="3" width="24" customWidth="1"/>
    <col min="4" max="4" width="48" customWidth="1"/>
    <col min="5" max="6" width="24" customWidth="1"/>
    <col min="7" max="8" width="12" customWidth="1"/>
    <col min="9" max="9" width="17.375" customWidth="1"/>
    <col min="10" max="10" width="18" customWidth="1"/>
    <col min="11" max="11" width="30" customWidth="1"/>
    <col min="12" max="12" width="38" customWidth="1"/>
    <col min="13" max="14" width="14" customWidth="1"/>
    <col min="15" max="16" width="12" customWidth="1"/>
    <col min="17" max="17" width="34" customWidth="1"/>
  </cols>
  <sheetData>
    <row r="1" spans="1:17" ht="32.1" customHeight="1">
      <c r="A1" s="6" t="s">
        <v>576</v>
      </c>
      <c r="B1" s="6" t="s">
        <v>32</v>
      </c>
      <c r="C1" s="6" t="s">
        <v>577</v>
      </c>
      <c r="D1" s="6" t="s">
        <v>578</v>
      </c>
      <c r="E1" s="6" t="s">
        <v>579</v>
      </c>
      <c r="F1" s="6" t="s">
        <v>580</v>
      </c>
      <c r="G1" s="7" t="s">
        <v>581</v>
      </c>
      <c r="H1" s="7" t="s">
        <v>42</v>
      </c>
      <c r="I1" s="6" t="s">
        <v>582</v>
      </c>
      <c r="J1" s="6"/>
      <c r="K1" s="6"/>
      <c r="L1" s="6"/>
      <c r="M1" s="6"/>
      <c r="N1" s="6"/>
      <c r="O1" s="8"/>
      <c r="P1" s="6"/>
      <c r="Q1" s="6"/>
    </row>
    <row r="2" spans="1:17">
      <c r="A2" s="9" t="s">
        <v>583</v>
      </c>
      <c r="B2" s="9" t="s">
        <v>584</v>
      </c>
      <c r="C2" s="9" t="s">
        <v>585</v>
      </c>
      <c r="D2" s="9" t="s">
        <v>586</v>
      </c>
      <c r="E2" s="9" t="s">
        <v>270</v>
      </c>
      <c r="F2" s="9" t="s">
        <v>587</v>
      </c>
      <c r="G2" s="9" t="s">
        <v>588</v>
      </c>
      <c r="H2" s="9" t="s">
        <v>589</v>
      </c>
      <c r="I2" s="9" t="s">
        <v>590</v>
      </c>
      <c r="J2" s="9"/>
      <c r="K2" s="9"/>
      <c r="L2" s="9"/>
      <c r="M2" s="9"/>
      <c r="N2" s="9"/>
      <c r="O2" s="9"/>
      <c r="P2" s="9"/>
      <c r="Q2" s="9"/>
    </row>
    <row r="3" spans="1:17">
      <c r="A3" s="9" t="s">
        <v>583</v>
      </c>
      <c r="B3" s="9" t="s">
        <v>591</v>
      </c>
      <c r="C3" s="9" t="s">
        <v>592</v>
      </c>
      <c r="D3" s="9" t="s">
        <v>18</v>
      </c>
      <c r="E3" s="9" t="s">
        <v>440</v>
      </c>
      <c r="F3" s="9" t="s">
        <v>593</v>
      </c>
      <c r="G3" s="9" t="s">
        <v>594</v>
      </c>
      <c r="H3" s="9" t="s">
        <v>589</v>
      </c>
      <c r="I3" s="9" t="s">
        <v>595</v>
      </c>
      <c r="J3" s="9"/>
      <c r="K3" s="9"/>
      <c r="L3" s="9"/>
      <c r="M3" s="9"/>
      <c r="N3" s="9"/>
      <c r="O3" s="9"/>
      <c r="P3" s="9"/>
      <c r="Q3" s="9"/>
    </row>
    <row r="4" spans="1:17">
      <c r="A4" s="9" t="s">
        <v>583</v>
      </c>
      <c r="B4" s="9" t="s">
        <v>596</v>
      </c>
      <c r="C4" s="9" t="s">
        <v>597</v>
      </c>
      <c r="D4" s="9" t="s">
        <v>598</v>
      </c>
      <c r="E4" s="9" t="s">
        <v>599</v>
      </c>
      <c r="F4" s="9" t="s">
        <v>600</v>
      </c>
      <c r="G4" s="9" t="s">
        <v>601</v>
      </c>
      <c r="H4" s="9" t="s">
        <v>589</v>
      </c>
      <c r="I4" s="9" t="s">
        <v>602</v>
      </c>
      <c r="J4" s="9"/>
      <c r="K4" s="9"/>
      <c r="L4" s="9"/>
      <c r="M4" s="9"/>
      <c r="N4" s="9"/>
      <c r="O4" s="9"/>
      <c r="P4" s="9"/>
      <c r="Q4" s="9"/>
    </row>
    <row r="5" spans="1:17">
      <c r="A5" s="9" t="s">
        <v>603</v>
      </c>
      <c r="B5" s="9" t="s">
        <v>604</v>
      </c>
      <c r="C5" s="9" t="s">
        <v>605</v>
      </c>
      <c r="D5" s="9" t="s">
        <v>14</v>
      </c>
      <c r="E5" s="9" t="s">
        <v>606</v>
      </c>
      <c r="F5" s="9" t="s">
        <v>607</v>
      </c>
      <c r="G5" s="9" t="s">
        <v>608</v>
      </c>
      <c r="H5" s="9" t="s">
        <v>589</v>
      </c>
      <c r="I5" s="9" t="s">
        <v>609</v>
      </c>
      <c r="J5" s="9"/>
      <c r="K5" s="9"/>
      <c r="L5" s="9"/>
      <c r="M5" s="9"/>
      <c r="N5" s="9"/>
      <c r="O5" s="9"/>
      <c r="P5" s="9"/>
      <c r="Q5" s="9"/>
    </row>
    <row r="6" spans="1:17">
      <c r="A6" s="9" t="s">
        <v>603</v>
      </c>
      <c r="B6" s="9" t="s">
        <v>610</v>
      </c>
      <c r="C6" s="9" t="s">
        <v>611</v>
      </c>
      <c r="D6" s="9" t="s">
        <v>20</v>
      </c>
      <c r="E6" s="9" t="s">
        <v>50</v>
      </c>
      <c r="F6" s="9" t="s">
        <v>612</v>
      </c>
      <c r="G6" s="9" t="s">
        <v>613</v>
      </c>
      <c r="H6" s="9" t="s">
        <v>589</v>
      </c>
      <c r="I6" s="9" t="s">
        <v>614</v>
      </c>
      <c r="J6" s="9"/>
      <c r="K6" s="9"/>
      <c r="L6" s="9"/>
      <c r="M6" s="9"/>
      <c r="N6" s="9"/>
      <c r="O6" s="9"/>
      <c r="P6" s="9"/>
      <c r="Q6" s="9"/>
    </row>
    <row r="7" spans="1:17">
      <c r="A7" s="9" t="s">
        <v>615</v>
      </c>
      <c r="B7" s="9" t="s">
        <v>616</v>
      </c>
      <c r="C7" s="9" t="s">
        <v>617</v>
      </c>
      <c r="D7" s="9" t="s">
        <v>618</v>
      </c>
      <c r="E7" s="9" t="s">
        <v>101</v>
      </c>
      <c r="F7" s="9" t="s">
        <v>619</v>
      </c>
      <c r="G7" s="9" t="s">
        <v>620</v>
      </c>
      <c r="H7" s="9" t="s">
        <v>589</v>
      </c>
      <c r="I7" s="9" t="s">
        <v>621</v>
      </c>
      <c r="J7" s="9"/>
      <c r="K7" s="9"/>
      <c r="L7" s="9"/>
      <c r="M7" s="9"/>
      <c r="N7" s="9"/>
      <c r="O7" s="9"/>
      <c r="P7" s="9"/>
      <c r="Q7" s="9"/>
    </row>
    <row r="8" spans="1:17">
      <c r="A8" s="9" t="s">
        <v>622</v>
      </c>
      <c r="B8" s="9" t="s">
        <v>623</v>
      </c>
      <c r="C8" s="9" t="s">
        <v>624</v>
      </c>
      <c r="D8" s="9" t="s">
        <v>625</v>
      </c>
      <c r="E8" s="9" t="s">
        <v>83</v>
      </c>
      <c r="F8" s="9" t="s">
        <v>626</v>
      </c>
      <c r="G8" s="9" t="s">
        <v>627</v>
      </c>
      <c r="H8" s="9" t="s">
        <v>589</v>
      </c>
      <c r="I8" s="9" t="s">
        <v>628</v>
      </c>
      <c r="J8" s="9"/>
      <c r="K8" s="9"/>
      <c r="L8" s="9"/>
      <c r="M8" s="9"/>
      <c r="N8" s="9"/>
      <c r="O8" s="9"/>
      <c r="P8" s="9"/>
      <c r="Q8" s="9"/>
    </row>
    <row r="9" spans="1:17">
      <c r="A9" s="9" t="s">
        <v>629</v>
      </c>
      <c r="B9" s="9" t="s">
        <v>630</v>
      </c>
      <c r="C9" s="9" t="s">
        <v>631</v>
      </c>
      <c r="D9" s="9" t="s">
        <v>632</v>
      </c>
      <c r="E9" s="9" t="s">
        <v>90</v>
      </c>
      <c r="F9" s="9" t="s">
        <v>633</v>
      </c>
      <c r="G9" s="9" t="s">
        <v>634</v>
      </c>
      <c r="H9" s="9" t="s">
        <v>589</v>
      </c>
      <c r="I9" s="9" t="s">
        <v>635</v>
      </c>
      <c r="J9" s="9"/>
      <c r="K9" s="9"/>
      <c r="L9" s="9"/>
      <c r="M9" s="9"/>
      <c r="N9" s="9"/>
      <c r="O9" s="9"/>
      <c r="P9" s="9"/>
      <c r="Q9" s="9"/>
    </row>
    <row r="10" spans="1:17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</sheetData>
  <conditionalFormatting sqref="O2:O250">
    <cfRule type="dataBar" priority="1">
      <dataBar>
        <cfvo type="min"/>
        <cfvo type="max"/>
        <color rgb="FF70AD47"/>
      </dataBar>
    </cfRule>
  </conditionalFormatting>
  <conditionalFormatting sqref="P2:P250">
    <cfRule type="expression" dxfId="5" priority="2">
      <formula>P2="Red"</formula>
    </cfRule>
    <cfRule type="expression" dxfId="4" priority="3">
      <formula>P2="Amber"</formula>
    </cfRule>
    <cfRule type="expression" dxfId="3" priority="4">
      <formula>P2="Green"</formula>
    </cfRule>
  </conditionalFormatting>
  <conditionalFormatting sqref="O2:O250">
    <cfRule type="dataBar" priority="5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{83D7561F-B7D0-FD46-E6C0-7B5409442691}</x14:id>
        </ext>
      </extLst>
    </cfRule>
  </conditionalFormatting>
  <dataValidations count="2">
    <dataValidation type="list" sqref="M2:M250" xr:uid="{00000000-0002-0000-0700-000000000000}">
      <formula1>"Not Started,In Progress,Blocked,At Risk,Completed"</formula1>
    </dataValidation>
    <dataValidation type="list" sqref="N2:N250" xr:uid="{00000000-0002-0000-0700-000001000000}">
      <formula1>"Critical,High,Medium,Low"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D7561F-B7D0-FD46-E6C0-7B5409442691}">
            <x14:dataBar>
              <x14:cfvo type="min"/>
              <x14:cfvo type="max"/>
              <x14:negativeFillColor auto="1"/>
              <x14:axisColor auto="1"/>
            </x14:dataBar>
          </x14:cfRule>
          <xm:sqref>O2:O250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00"/>
  <sheetViews>
    <sheetView zoomScaleNormal="100" zoomScaleSheetLayoutView="100" workbookViewId="0"/>
  </sheetViews>
  <sheetFormatPr defaultRowHeight="15"/>
  <cols>
    <col min="1" max="1" width="16.75" customWidth="1"/>
    <col min="2" max="2" width="34.75" customWidth="1"/>
    <col min="3" max="3" width="24" customWidth="1"/>
    <col min="4" max="4" width="48" customWidth="1"/>
    <col min="5" max="6" width="24" customWidth="1"/>
    <col min="7" max="9" width="12" customWidth="1"/>
    <col min="10" max="10" width="18" customWidth="1"/>
    <col min="11" max="11" width="30" customWidth="1"/>
    <col min="12" max="12" width="38" customWidth="1"/>
    <col min="13" max="14" width="14" customWidth="1"/>
    <col min="15" max="16" width="12" customWidth="1"/>
    <col min="17" max="17" width="34" customWidth="1"/>
  </cols>
  <sheetData>
    <row r="1" spans="1:17" ht="32.1" customHeight="1">
      <c r="A1" s="6" t="s">
        <v>636</v>
      </c>
      <c r="B1" s="6" t="s">
        <v>637</v>
      </c>
      <c r="C1" s="6" t="s">
        <v>638</v>
      </c>
      <c r="D1" s="6" t="s">
        <v>639</v>
      </c>
      <c r="E1" s="6" t="s">
        <v>640</v>
      </c>
      <c r="F1" s="6" t="s">
        <v>641</v>
      </c>
      <c r="G1" s="7"/>
      <c r="H1" s="7"/>
      <c r="I1" s="6"/>
      <c r="J1" s="6"/>
      <c r="K1" s="6"/>
      <c r="L1" s="6"/>
      <c r="M1" s="6"/>
      <c r="N1" s="6"/>
      <c r="O1" s="8"/>
      <c r="P1" s="6"/>
      <c r="Q1" s="6"/>
    </row>
    <row r="2" spans="1:17">
      <c r="A2" s="9" t="s">
        <v>12</v>
      </c>
      <c r="B2" s="9" t="s">
        <v>642</v>
      </c>
      <c r="C2" s="9" t="s">
        <v>643</v>
      </c>
      <c r="D2" s="9" t="s">
        <v>644</v>
      </c>
      <c r="E2" s="9" t="s">
        <v>645</v>
      </c>
      <c r="F2" s="9" t="s">
        <v>646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>
      <c r="A3" s="9" t="s">
        <v>14</v>
      </c>
      <c r="B3" s="9" t="s">
        <v>647</v>
      </c>
      <c r="C3" s="9" t="s">
        <v>648</v>
      </c>
      <c r="D3" s="9" t="s">
        <v>649</v>
      </c>
      <c r="E3" s="9" t="s">
        <v>650</v>
      </c>
      <c r="F3" s="9" t="s">
        <v>651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>
      <c r="A4" s="9" t="s">
        <v>16</v>
      </c>
      <c r="B4" s="9" t="s">
        <v>652</v>
      </c>
      <c r="C4" s="9" t="s">
        <v>653</v>
      </c>
      <c r="D4" s="9" t="s">
        <v>654</v>
      </c>
      <c r="E4" s="9" t="s">
        <v>655</v>
      </c>
      <c r="F4" s="9" t="s">
        <v>656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>
      <c r="A5" s="9" t="s">
        <v>18</v>
      </c>
      <c r="B5" s="9" t="s">
        <v>657</v>
      </c>
      <c r="C5" s="9" t="s">
        <v>658</v>
      </c>
      <c r="D5" s="9" t="s">
        <v>659</v>
      </c>
      <c r="E5" s="9" t="s">
        <v>660</v>
      </c>
      <c r="F5" s="9" t="s">
        <v>661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>
      <c r="A6" s="9" t="s">
        <v>20</v>
      </c>
      <c r="B6" s="9" t="s">
        <v>662</v>
      </c>
      <c r="C6" s="9" t="s">
        <v>663</v>
      </c>
      <c r="D6" s="9" t="s">
        <v>664</v>
      </c>
      <c r="E6" s="9" t="s">
        <v>665</v>
      </c>
      <c r="F6" s="9" t="s">
        <v>666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</sheetData>
  <conditionalFormatting sqref="O2:O250">
    <cfRule type="dataBar" priority="1">
      <dataBar>
        <cfvo type="min"/>
        <cfvo type="max"/>
        <color rgb="FF70AD47"/>
      </dataBar>
    </cfRule>
  </conditionalFormatting>
  <conditionalFormatting sqref="P2:P250">
    <cfRule type="expression" dxfId="2" priority="2">
      <formula>P2="Red"</formula>
    </cfRule>
    <cfRule type="expression" dxfId="1" priority="3">
      <formula>P2="Amber"</formula>
    </cfRule>
    <cfRule type="expression" dxfId="0" priority="4">
      <formula>P2="Green"</formula>
    </cfRule>
  </conditionalFormatting>
  <conditionalFormatting sqref="O2:O250">
    <cfRule type="dataBar" priority="5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{DA2BD986-3341-E1F2-0955-219C9B975BD9}</x14:id>
        </ext>
      </extLst>
    </cfRule>
  </conditionalFormatting>
  <dataValidations count="2">
    <dataValidation type="list" sqref="M2:M250" xr:uid="{00000000-0002-0000-0800-000000000000}">
      <formula1>"Not Started,In Progress,Blocked,At Risk,Completed"</formula1>
    </dataValidation>
    <dataValidation type="list" sqref="N2:N250" xr:uid="{00000000-0002-0000-0800-000001000000}">
      <formula1>"Critical,High,Medium,Low"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2BD986-3341-E1F2-0955-219C9B975BD9}">
            <x14:dataBar>
              <x14:cfvo type="min"/>
              <x14:cfvo type="max"/>
              <x14:negativeFillColor auto="1"/>
              <x14:axisColor auto="1"/>
            </x14:dataBar>
          </x14:cfRule>
          <xm:sqref>O2:O250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4"/>
  <sheetViews>
    <sheetView topLeftCell="A94" zoomScaleNormal="100" zoomScaleSheetLayoutView="100" workbookViewId="0"/>
  </sheetViews>
  <sheetFormatPr defaultRowHeight="15"/>
  <cols>
    <col min="1" max="1" width="28" customWidth="1"/>
    <col min="3" max="3" width="34" customWidth="1"/>
  </cols>
  <sheetData>
    <row r="1" spans="1:3">
      <c r="A1" s="1" t="s">
        <v>42</v>
      </c>
      <c r="C1" s="1" t="s">
        <v>667</v>
      </c>
    </row>
    <row r="2" spans="1:3">
      <c r="A2" t="s">
        <v>53</v>
      </c>
      <c r="C2" t="s">
        <v>460</v>
      </c>
    </row>
    <row r="3" spans="1:3">
      <c r="A3" t="s">
        <v>9</v>
      </c>
      <c r="C3" t="s">
        <v>383</v>
      </c>
    </row>
    <row r="4" spans="1:3">
      <c r="A4" t="s">
        <v>668</v>
      </c>
      <c r="C4" t="s">
        <v>449</v>
      </c>
    </row>
    <row r="5" spans="1:3">
      <c r="A5" t="s">
        <v>669</v>
      </c>
      <c r="C5" t="s">
        <v>394</v>
      </c>
    </row>
    <row r="6" spans="1:3">
      <c r="A6" t="s">
        <v>3</v>
      </c>
      <c r="C6" t="s">
        <v>388</v>
      </c>
    </row>
    <row r="7" spans="1:3">
      <c r="C7" t="s">
        <v>377</v>
      </c>
    </row>
    <row r="8" spans="1:3">
      <c r="A8" s="1" t="s">
        <v>43</v>
      </c>
      <c r="C8" t="s">
        <v>270</v>
      </c>
    </row>
    <row r="9" spans="1:3">
      <c r="A9" t="s">
        <v>670</v>
      </c>
      <c r="C9" t="s">
        <v>65</v>
      </c>
    </row>
    <row r="10" spans="1:3">
      <c r="A10" t="s">
        <v>54</v>
      </c>
      <c r="C10" t="s">
        <v>404</v>
      </c>
    </row>
    <row r="11" spans="1:3">
      <c r="A11" t="s">
        <v>671</v>
      </c>
      <c r="C11" t="s">
        <v>175</v>
      </c>
    </row>
    <row r="12" spans="1:3">
      <c r="A12" t="s">
        <v>672</v>
      </c>
      <c r="C12" t="s">
        <v>421</v>
      </c>
    </row>
    <row r="13" spans="1:3">
      <c r="C13" t="s">
        <v>186</v>
      </c>
    </row>
    <row r="14" spans="1:3">
      <c r="A14" s="1" t="s">
        <v>45</v>
      </c>
      <c r="C14" t="s">
        <v>211</v>
      </c>
    </row>
    <row r="15" spans="1:3">
      <c r="A15" t="s">
        <v>673</v>
      </c>
      <c r="C15" t="s">
        <v>399</v>
      </c>
    </row>
    <row r="16" spans="1:3">
      <c r="A16" t="s">
        <v>674</v>
      </c>
      <c r="C16" t="s">
        <v>50</v>
      </c>
    </row>
    <row r="17" spans="1:3">
      <c r="A17" t="s">
        <v>675</v>
      </c>
      <c r="C17" t="s">
        <v>466</v>
      </c>
    </row>
    <row r="18" spans="1:3">
      <c r="C18" t="s">
        <v>83</v>
      </c>
    </row>
    <row r="19" spans="1:3">
      <c r="A19" s="1" t="s">
        <v>7</v>
      </c>
      <c r="C19" t="s">
        <v>276</v>
      </c>
    </row>
    <row r="20" spans="1:3">
      <c r="A20" t="s">
        <v>12</v>
      </c>
      <c r="C20" t="s">
        <v>191</v>
      </c>
    </row>
    <row r="21" spans="1:3">
      <c r="A21" t="s">
        <v>14</v>
      </c>
      <c r="C21" t="s">
        <v>293</v>
      </c>
    </row>
    <row r="22" spans="1:3">
      <c r="A22" t="s">
        <v>16</v>
      </c>
      <c r="C22" t="s">
        <v>252</v>
      </c>
    </row>
    <row r="23" spans="1:3">
      <c r="A23" t="s">
        <v>18</v>
      </c>
      <c r="C23" t="s">
        <v>95</v>
      </c>
    </row>
    <row r="24" spans="1:3">
      <c r="A24" t="s">
        <v>20</v>
      </c>
      <c r="C24" t="s">
        <v>305</v>
      </c>
    </row>
    <row r="25" spans="1:3">
      <c r="C25" t="s">
        <v>58</v>
      </c>
    </row>
    <row r="26" spans="1:3">
      <c r="C26" t="s">
        <v>486</v>
      </c>
    </row>
    <row r="27" spans="1:3">
      <c r="C27" t="s">
        <v>511</v>
      </c>
    </row>
    <row r="28" spans="1:3">
      <c r="C28" t="s">
        <v>389</v>
      </c>
    </row>
    <row r="29" spans="1:3">
      <c r="C29" t="s">
        <v>127</v>
      </c>
    </row>
    <row r="30" spans="1:3">
      <c r="C30" t="s">
        <v>505</v>
      </c>
    </row>
    <row r="31" spans="1:3">
      <c r="C31" t="s">
        <v>90</v>
      </c>
    </row>
    <row r="32" spans="1:3">
      <c r="C32" t="s">
        <v>160</v>
      </c>
    </row>
    <row r="33" spans="3:3">
      <c r="C33" t="s">
        <v>258</v>
      </c>
    </row>
    <row r="34" spans="3:3">
      <c r="C34" t="s">
        <v>567</v>
      </c>
    </row>
    <row r="35" spans="3:3">
      <c r="C35" t="s">
        <v>366</v>
      </c>
    </row>
    <row r="36" spans="3:3">
      <c r="C36" t="s">
        <v>322</v>
      </c>
    </row>
    <row r="37" spans="3:3">
      <c r="C37" t="s">
        <v>76</v>
      </c>
    </row>
    <row r="38" spans="3:3">
      <c r="C38" t="s">
        <v>70</v>
      </c>
    </row>
    <row r="39" spans="3:3">
      <c r="C39" t="s">
        <v>341</v>
      </c>
    </row>
    <row r="40" spans="3:3">
      <c r="C40" t="s">
        <v>416</v>
      </c>
    </row>
    <row r="41" spans="3:3">
      <c r="C41" t="s">
        <v>440</v>
      </c>
    </row>
    <row r="42" spans="3:3">
      <c r="C42" t="s">
        <v>410</v>
      </c>
    </row>
    <row r="43" spans="3:3">
      <c r="C43" t="s">
        <v>180</v>
      </c>
    </row>
    <row r="44" spans="3:3">
      <c r="C44" t="s">
        <v>450</v>
      </c>
    </row>
    <row r="45" spans="3:3">
      <c r="C45" t="s">
        <v>378</v>
      </c>
    </row>
    <row r="46" spans="3:3">
      <c r="C46" t="s">
        <v>275</v>
      </c>
    </row>
    <row r="47" spans="3:3">
      <c r="C47" t="s">
        <v>281</v>
      </c>
    </row>
    <row r="48" spans="3:3">
      <c r="C48" t="s">
        <v>304</v>
      </c>
    </row>
    <row r="49" spans="3:3">
      <c r="C49" t="s">
        <v>298</v>
      </c>
    </row>
    <row r="50" spans="3:3">
      <c r="C50" t="s">
        <v>269</v>
      </c>
    </row>
    <row r="51" spans="3:3">
      <c r="C51" t="s">
        <v>485</v>
      </c>
    </row>
    <row r="52" spans="3:3">
      <c r="C52" t="s">
        <v>75</v>
      </c>
    </row>
    <row r="53" spans="3:3">
      <c r="C53" t="s">
        <v>57</v>
      </c>
    </row>
    <row r="54" spans="3:3">
      <c r="C54" t="s">
        <v>222</v>
      </c>
    </row>
    <row r="55" spans="3:3">
      <c r="C55" t="s">
        <v>286</v>
      </c>
    </row>
    <row r="56" spans="3:3">
      <c r="C56" t="s">
        <v>315</v>
      </c>
    </row>
    <row r="57" spans="3:3">
      <c r="C57" t="s">
        <v>292</v>
      </c>
    </row>
    <row r="58" spans="3:3">
      <c r="C58" t="s">
        <v>89</v>
      </c>
    </row>
    <row r="59" spans="3:3">
      <c r="C59" t="s">
        <v>504</v>
      </c>
    </row>
    <row r="60" spans="3:3">
      <c r="C60" t="s">
        <v>556</v>
      </c>
    </row>
    <row r="61" spans="3:3">
      <c r="C61" t="s">
        <v>480</v>
      </c>
    </row>
    <row r="62" spans="3:3">
      <c r="C62" t="s">
        <v>174</v>
      </c>
    </row>
    <row r="63" spans="3:3">
      <c r="C63" t="s">
        <v>165</v>
      </c>
    </row>
    <row r="64" spans="3:3">
      <c r="C64" t="s">
        <v>206</v>
      </c>
    </row>
    <row r="65" spans="3:3">
      <c r="C65" t="s">
        <v>201</v>
      </c>
    </row>
    <row r="66" spans="3:3">
      <c r="C66" t="s">
        <v>159</v>
      </c>
    </row>
    <row r="67" spans="3:3">
      <c r="C67" t="s">
        <v>143</v>
      </c>
    </row>
    <row r="68" spans="3:3">
      <c r="C68" t="s">
        <v>321</v>
      </c>
    </row>
    <row r="69" spans="3:3">
      <c r="C69" t="s">
        <v>517</v>
      </c>
    </row>
    <row r="70" spans="3:3">
      <c r="C70" t="s">
        <v>82</v>
      </c>
    </row>
    <row r="71" spans="3:3">
      <c r="C71" t="s">
        <v>185</v>
      </c>
    </row>
    <row r="72" spans="3:3">
      <c r="C72" t="s">
        <v>49</v>
      </c>
    </row>
    <row r="73" spans="3:3">
      <c r="C73" t="s">
        <v>101</v>
      </c>
    </row>
    <row r="74" spans="3:3">
      <c r="C7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Preety Thusoo</cp:lastModifiedBy>
  <cp:revision/>
  <dcterms:created xsi:type="dcterms:W3CDTF">2026-06-05T15:40:31Z</dcterms:created>
  <dcterms:modified xsi:type="dcterms:W3CDTF">2026-06-05T15:42:34Z</dcterms:modified>
  <cp:category/>
  <cp:contentStatus/>
</cp:coreProperties>
</file>